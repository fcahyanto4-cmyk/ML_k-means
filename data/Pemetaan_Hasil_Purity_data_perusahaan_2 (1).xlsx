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jar\Downloads\"/>
    </mc:Choice>
  </mc:AlternateContent>
  <xr:revisionPtr revIDLastSave="0" documentId="13_ncr:1_{1663A151-1DFA-4436-AA19-1E39B77D84C5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Pemetaan Purity" sheetId="1" r:id="rId1"/>
    <sheet name="Sheet3" sheetId="4" r:id="rId2"/>
    <sheet name="Sheet4" sheetId="5" r:id="rId3"/>
    <sheet name="Sheet2" sheetId="3" r:id="rId4"/>
    <sheet name="Sheet5" sheetId="6" r:id="rId5"/>
    <sheet name="Sheet1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6" l="1"/>
  <c r="L10" i="6" s="1"/>
  <c r="M6" i="6"/>
  <c r="L6" i="6"/>
  <c r="K6" i="6"/>
  <c r="J6" i="6"/>
  <c r="I6" i="6"/>
  <c r="H6" i="6"/>
  <c r="M5" i="6"/>
  <c r="L5" i="6"/>
  <c r="K5" i="6"/>
  <c r="J5" i="6"/>
  <c r="I5" i="6"/>
  <c r="H5" i="6"/>
  <c r="M4" i="6"/>
  <c r="L4" i="6"/>
  <c r="K4" i="6"/>
  <c r="J4" i="6"/>
  <c r="I4" i="6"/>
  <c r="H4" i="6"/>
  <c r="M3" i="6"/>
  <c r="L3" i="6"/>
  <c r="K3" i="6"/>
  <c r="K7" i="6" s="1"/>
  <c r="L11" i="6" s="1"/>
  <c r="J3" i="6"/>
  <c r="J7" i="6" s="1"/>
  <c r="I3" i="6"/>
  <c r="I7" i="6" s="1"/>
  <c r="H3" i="6"/>
  <c r="H7" i="6" s="1"/>
  <c r="L12" i="6" l="1"/>
  <c r="L13" i="6" s="1"/>
  <c r="M4" i="5"/>
  <c r="L7" i="5" s="1"/>
  <c r="M3" i="5"/>
  <c r="L3" i="5"/>
  <c r="K3" i="5"/>
  <c r="K4" i="5" s="1"/>
  <c r="L8" i="5" s="1"/>
  <c r="J3" i="5"/>
  <c r="J4" i="5" s="1"/>
  <c r="I3" i="5"/>
  <c r="I4" i="5" s="1"/>
  <c r="H3" i="5"/>
  <c r="H4" i="5" s="1"/>
  <c r="M4" i="4"/>
  <c r="L7" i="4" s="1"/>
  <c r="M3" i="4"/>
  <c r="L3" i="4"/>
  <c r="K3" i="4"/>
  <c r="K4" i="4" s="1"/>
  <c r="L8" i="4" s="1"/>
  <c r="J3" i="4"/>
  <c r="J4" i="4" s="1"/>
  <c r="I3" i="4"/>
  <c r="I4" i="4" s="1"/>
  <c r="H3" i="4"/>
  <c r="H4" i="4" s="1"/>
  <c r="J3" i="3"/>
  <c r="M3" i="3" s="1"/>
  <c r="M4" i="3" s="1"/>
  <c r="L7" i="3" s="1"/>
  <c r="I3" i="3"/>
  <c r="I4" i="3" s="1"/>
  <c r="H3" i="3"/>
  <c r="H4" i="3" s="1"/>
  <c r="M4" i="2"/>
  <c r="L7" i="2" s="1"/>
  <c r="M3" i="2"/>
  <c r="L3" i="2"/>
  <c r="K3" i="2"/>
  <c r="K4" i="2" s="1"/>
  <c r="L8" i="2" s="1"/>
  <c r="J3" i="2"/>
  <c r="J4" i="2" s="1"/>
  <c r="I3" i="2"/>
  <c r="I4" i="2" s="1"/>
  <c r="H3" i="2"/>
  <c r="H4" i="2" s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R6" i="1"/>
  <c r="Q6" i="1"/>
  <c r="P6" i="1"/>
  <c r="E6" i="1"/>
  <c r="R5" i="1"/>
  <c r="Q5" i="1"/>
  <c r="P5" i="1"/>
  <c r="U5" i="1" s="1"/>
  <c r="E5" i="1"/>
  <c r="R4" i="1"/>
  <c r="Q4" i="1"/>
  <c r="P4" i="1"/>
  <c r="E4" i="1"/>
  <c r="R3" i="1"/>
  <c r="Q3" i="1"/>
  <c r="P3" i="1"/>
  <c r="P7" i="1" s="1"/>
  <c r="E3" i="1"/>
  <c r="E2" i="1"/>
  <c r="L9" i="5" l="1"/>
  <c r="L10" i="5" s="1"/>
  <c r="L9" i="4"/>
  <c r="L10" i="4" s="1"/>
  <c r="J4" i="3"/>
  <c r="K3" i="3"/>
  <c r="K4" i="3" s="1"/>
  <c r="L8" i="3" s="1"/>
  <c r="L9" i="3" s="1"/>
  <c r="L10" i="3" s="1"/>
  <c r="L3" i="3"/>
  <c r="L9" i="2"/>
  <c r="L10" i="2" s="1"/>
  <c r="T6" i="1"/>
  <c r="U3" i="1"/>
  <c r="U6" i="1"/>
  <c r="R7" i="1"/>
  <c r="U4" i="1"/>
  <c r="T4" i="1"/>
  <c r="S3" i="1"/>
  <c r="T3" i="1"/>
  <c r="S4" i="1"/>
  <c r="Q7" i="1"/>
  <c r="S5" i="1"/>
  <c r="T5" i="1"/>
  <c r="S6" i="1"/>
  <c r="U7" i="1" l="1"/>
  <c r="T10" i="1" s="1"/>
  <c r="S7" i="1"/>
  <c r="T11" i="1" s="1"/>
  <c r="T12" i="1" s="1"/>
  <c r="T13" i="1" s="1"/>
</calcChain>
</file>

<file path=xl/sharedStrings.xml><?xml version="1.0" encoding="utf-8"?>
<sst xmlns="http://schemas.openxmlformats.org/spreadsheetml/2006/main" count="1983" uniqueCount="257">
  <si>
    <t>No</t>
  </si>
  <si>
    <t>Nama Wajib Pajak</t>
  </si>
  <si>
    <t>Hasil Cluster (Ω)</t>
  </si>
  <si>
    <t xml:space="preserve">Kelas Acuan </t>
  </si>
  <si>
    <t>Status Evaluasi Purity</t>
  </si>
  <si>
    <t>Tepat Waktu (%)</t>
  </si>
  <si>
    <t>Terlambat (%)</t>
  </si>
  <si>
    <t>Belum Bayar (%)</t>
  </si>
  <si>
    <t>Rata-rata Telat (hari)</t>
  </si>
  <si>
    <t>Jarak ke Centroid Cluster 1</t>
  </si>
  <si>
    <t>Jarak ke Centroid Cluster 2</t>
  </si>
  <si>
    <t>Jarak ke Centroid Cluster 3</t>
  </si>
  <si>
    <t>Jarak ke Centroid Cluster 4</t>
  </si>
  <si>
    <t>MATRIKS KONTINGENSI &amp; PEMETAAN PURITY</t>
  </si>
  <si>
    <t>CV Adi Makmur</t>
  </si>
  <si>
    <t>Cluster 1</t>
  </si>
  <si>
    <t>Tidak Patuh</t>
  </si>
  <si>
    <t>Hasil Cluster</t>
  </si>
  <si>
    <t>Patuh</t>
  </si>
  <si>
    <t>Kurang Patuh</t>
  </si>
  <si>
    <t>Total Data</t>
  </si>
  <si>
    <t>Kelas Mayoritas (max_j)</t>
  </si>
  <si>
    <t>Jumlah Mayoritas</t>
  </si>
  <si>
    <t>CV Dinamika Teknik</t>
  </si>
  <si>
    <t>CV Elang Sembada</t>
  </si>
  <si>
    <t>Cluster 2</t>
  </si>
  <si>
    <t>CV Fajar Sembada</t>
  </si>
  <si>
    <t>Cluster 3</t>
  </si>
  <si>
    <t>CV Karya Sarana</t>
  </si>
  <si>
    <t>Cluster 4</t>
  </si>
  <si>
    <t>CV Mandiri Solutions</t>
  </si>
  <si>
    <t>-</t>
  </si>
  <si>
    <t>CV Niaga Utama</t>
  </si>
  <si>
    <t>CV Sejahtera Indonesia</t>
  </si>
  <si>
    <t>RINGKASAN FORMULA &amp; SKOR PURITY</t>
  </si>
  <si>
    <t>CV Sinergi Global</t>
  </si>
  <si>
    <t>Total Nilai Mayoritas (Σ max_j)</t>
  </si>
  <si>
    <t>PT Abadi Sarana</t>
  </si>
  <si>
    <t>Total Seluruh Data Sampel (N)</t>
  </si>
  <si>
    <t>PT Bahagia Utara</t>
  </si>
  <si>
    <t>Skor Purity Model (Desimal)</t>
  </si>
  <si>
    <t>PT Berkah Cemerlang</t>
  </si>
  <si>
    <t>Persentase Akurasi Purity (%)</t>
  </si>
  <si>
    <t>PT Bumi Selatan</t>
  </si>
  <si>
    <t>PT Cahaya Internasional</t>
  </si>
  <si>
    <t>NILAI CENTROID AKHIR K-MEANS (Skala Asli)</t>
  </si>
  <si>
    <t>PT Cipta Kreasi</t>
  </si>
  <si>
    <t>Cluster</t>
  </si>
  <si>
    <t>Tepat Waktu</t>
  </si>
  <si>
    <t>Terlambat</t>
  </si>
  <si>
    <t>Belum Bayar</t>
  </si>
  <si>
    <t>Label</t>
  </si>
  <si>
    <t>PT Dinamika Abadi</t>
  </si>
  <si>
    <t>PT Duta Group</t>
  </si>
  <si>
    <t>PT Elang Bersama</t>
  </si>
  <si>
    <t>PT Elang Logistik</t>
  </si>
  <si>
    <t>PT Global Consulting</t>
  </si>
  <si>
    <t>PT Global Otomotif</t>
  </si>
  <si>
    <t>PT Harapan Otomotif</t>
  </si>
  <si>
    <t>PT Harapan Sentosa</t>
  </si>
  <si>
    <t>PT Harmoni Abadi</t>
  </si>
  <si>
    <t>PT Indah Persada</t>
  </si>
  <si>
    <t>PT Jaya Cemerlang</t>
  </si>
  <si>
    <t>PT Karya Abadi</t>
  </si>
  <si>
    <t>PT Karya Logistik</t>
  </si>
  <si>
    <t>PT Karya Nusantara</t>
  </si>
  <si>
    <t>PT Kurnia Barat</t>
  </si>
  <si>
    <t>PT Lestari Barat</t>
  </si>
  <si>
    <t>PT Maju Mulia</t>
  </si>
  <si>
    <t>PT Makmur Global</t>
  </si>
  <si>
    <t>PT Nusantara Sentosa</t>
  </si>
  <si>
    <t>PT Optima Makmur</t>
  </si>
  <si>
    <t>PT Pelangi Raya</t>
  </si>
  <si>
    <t>PT Sejahtera Nasional</t>
  </si>
  <si>
    <t>PT Sukses Selatan</t>
  </si>
  <si>
    <t>PT Teknologi Prima</t>
  </si>
  <si>
    <t>PT Unggul Sejahtera</t>
  </si>
  <si>
    <t>PT Wijaya Teknik</t>
  </si>
  <si>
    <t>PT Zenith Consulting</t>
  </si>
  <si>
    <t>PT Zenith Konstruksi</t>
  </si>
  <si>
    <t>PT Zenith Makmur</t>
  </si>
  <si>
    <t>CV Berkah Perdana</t>
  </si>
  <si>
    <t>CV Bersama Barat</t>
  </si>
  <si>
    <t>CV Cahaya Otomotif</t>
  </si>
  <si>
    <t>CV Cahaya Timur</t>
  </si>
  <si>
    <t>CV Harapan Gemilang</t>
  </si>
  <si>
    <t>CV Harmoni Internasional</t>
  </si>
  <si>
    <t>CV Jaya Perdana</t>
  </si>
  <si>
    <t>CV Makmur Sejahtera</t>
  </si>
  <si>
    <t>CV Mandiri Indonesia</t>
  </si>
  <si>
    <t>CV Nusantara Inovasi</t>
  </si>
  <si>
    <t>CV Prima Industri</t>
  </si>
  <si>
    <t>CV Sakti Global</t>
  </si>
  <si>
    <t>CV Sakti Logistik</t>
  </si>
  <si>
    <t>CV Sakti Perkasa</t>
  </si>
  <si>
    <t>CV Teknologi Selatan</t>
  </si>
  <si>
    <t>CV Timur Abadi</t>
  </si>
  <si>
    <t>CV Xandra Kencana</t>
  </si>
  <si>
    <t>CV Yudha Nusantara</t>
  </si>
  <si>
    <t>PT Abadi Internasional</t>
  </si>
  <si>
    <t>PT Berkah Abadi</t>
  </si>
  <si>
    <t>PT Bina Logistik</t>
  </si>
  <si>
    <t>PT Cemerlang Vision</t>
  </si>
  <si>
    <t>PT Digital Vision</t>
  </si>
  <si>
    <t>PT Dinamika Sakti</t>
  </si>
  <si>
    <t>PT Elang Sejahtera</t>
  </si>
  <si>
    <t>PT Garuda Mulia</t>
  </si>
  <si>
    <t>PT Garuda Nusantara</t>
  </si>
  <si>
    <t>PT Harmoni Inovasi</t>
  </si>
  <si>
    <t>PT Indah Sakti</t>
  </si>
  <si>
    <t>PT Indo Pratama</t>
  </si>
  <si>
    <t>PT Jaya Gemilang</t>
  </si>
  <si>
    <t>PT Jaya Industri</t>
  </si>
  <si>
    <t>PT Kurnia Logistik</t>
  </si>
  <si>
    <t>PT Kurnia Perdana</t>
  </si>
  <si>
    <t>PT Kurnia Solutions</t>
  </si>
  <si>
    <t>PT Lestari Solutions</t>
  </si>
  <si>
    <t>PT Maju Gemilang</t>
  </si>
  <si>
    <t>PT Maju Jaya</t>
  </si>
  <si>
    <t>PT Makmur Consulting</t>
  </si>
  <si>
    <t>PT Makmur Distribusi</t>
  </si>
  <si>
    <t>PT Mulia Nusantara</t>
  </si>
  <si>
    <t>PT Mulia Trading</t>
  </si>
  <si>
    <t>PT Mulia Vision</t>
  </si>
  <si>
    <t>PT Niaga Sarana</t>
  </si>
  <si>
    <t>PT Nusantara Barat</t>
  </si>
  <si>
    <t>PT Nusantara Baru</t>
  </si>
  <si>
    <t>PT Nusantara Industri</t>
  </si>
  <si>
    <t>PT Nusantara Trading</t>
  </si>
  <si>
    <t>PT Optima Otomotif</t>
  </si>
  <si>
    <t>PT Pelangi Indonesia</t>
  </si>
  <si>
    <t>PT Pelangi Sentral</t>
  </si>
  <si>
    <t>PT Perkasa Konstruksi</t>
  </si>
  <si>
    <t>PT Perkasa Prima</t>
  </si>
  <si>
    <t>PT Persada Nasional</t>
  </si>
  <si>
    <t>PT Persada Sentosa</t>
  </si>
  <si>
    <t>PT Pratama Abadi</t>
  </si>
  <si>
    <t>PT Pratama Teknik</t>
  </si>
  <si>
    <t>PT Prima Sentosa</t>
  </si>
  <si>
    <t>PT Sakti Abadi</t>
  </si>
  <si>
    <t>PT Sakti Sentral</t>
  </si>
  <si>
    <t>PT Sejahtera Otomotif</t>
  </si>
  <si>
    <t>PT Sentra Mandiri</t>
  </si>
  <si>
    <t>PT Sinergi Barat</t>
  </si>
  <si>
    <t>PT Sinergi Global</t>
  </si>
  <si>
    <t>PT Sinergi Group</t>
  </si>
  <si>
    <t>PT Sukses Bersama</t>
  </si>
  <si>
    <t>PT Utama Global</t>
  </si>
  <si>
    <t>PT Visi Bersama</t>
  </si>
  <si>
    <t>PT Xandra Internasional</t>
  </si>
  <si>
    <t>PT Zenith Internasional</t>
  </si>
  <si>
    <t>CV Abadi Raya</t>
  </si>
  <si>
    <t>CV Adi Karya</t>
  </si>
  <si>
    <t>CV Cipta Sentral</t>
  </si>
  <si>
    <t>CV Digital Mulia</t>
  </si>
  <si>
    <t>CV Dinamika Sentosa</t>
  </si>
  <si>
    <t>CV Dinamika Sentral</t>
  </si>
  <si>
    <t>CV Garuda Consulting</t>
  </si>
  <si>
    <t>CV Gemilang Persada</t>
  </si>
  <si>
    <t>CV Indah Utama</t>
  </si>
  <si>
    <t>CV Inti Makmur</t>
  </si>
  <si>
    <t>CV Karya Inovasi</t>
  </si>
  <si>
    <t>CV Maju Perkasa</t>
  </si>
  <si>
    <t>CV Makmur Perkasa</t>
  </si>
  <si>
    <t>CV Mulia Sejahtera</t>
  </si>
  <si>
    <t>CV Nusantara Raya</t>
  </si>
  <si>
    <t>CV Pratama Nasional</t>
  </si>
  <si>
    <t>CV Prima Konstruksi</t>
  </si>
  <si>
    <t>CV Prima Logistik</t>
  </si>
  <si>
    <t>CV Rejeki Mandiri</t>
  </si>
  <si>
    <t>CV Sentosa Abadi</t>
  </si>
  <si>
    <t>CV Sentra Nasional</t>
  </si>
  <si>
    <t>CV Teknologi Karya</t>
  </si>
  <si>
    <t>CV Visi Perkasa</t>
  </si>
  <si>
    <t>CV Zenith Indonesia</t>
  </si>
  <si>
    <t>PT Adi Otomotif</t>
  </si>
  <si>
    <t>PT Adi Perdana</t>
  </si>
  <si>
    <t>PT Adi Trading</t>
  </si>
  <si>
    <t>PT Bahagia Abadi</t>
  </si>
  <si>
    <t>PT Bahagia Sejahtera</t>
  </si>
  <si>
    <t>PT Bahagia Sentosa</t>
  </si>
  <si>
    <t>PT Bina Sentosa</t>
  </si>
  <si>
    <t>PT Bumi Teknik</t>
  </si>
  <si>
    <t>PT Bumi Timur</t>
  </si>
  <si>
    <t>PT Cemerlang Mandiri</t>
  </si>
  <si>
    <t>PT Citra Gemilang</t>
  </si>
  <si>
    <t>PT Digital Cemerlang</t>
  </si>
  <si>
    <t>PT Digital Makmur</t>
  </si>
  <si>
    <t>PT Duta Logistik</t>
  </si>
  <si>
    <t>PT Fajar Utama</t>
  </si>
  <si>
    <t>PT Global Industri</t>
  </si>
  <si>
    <t>PT Global Konstruksi</t>
  </si>
  <si>
    <t>PT Harmoni Indonesia</t>
  </si>
  <si>
    <t>PT Harmoni Sarana</t>
  </si>
  <si>
    <t>PT Indah Utama</t>
  </si>
  <si>
    <t>PT Inti Kreasi</t>
  </si>
  <si>
    <t>PT Inti Sentral</t>
  </si>
  <si>
    <t>PT Inti Trading</t>
  </si>
  <si>
    <t>PT Jaya Indonesia</t>
  </si>
  <si>
    <t>PT Kencana Gemilang</t>
  </si>
  <si>
    <t>PT Kencana Inovasi</t>
  </si>
  <si>
    <t>PT Lestari Consulting</t>
  </si>
  <si>
    <t>PT Lestari Kreasi</t>
  </si>
  <si>
    <t>PT Lestari Selatan</t>
  </si>
  <si>
    <t>PT Lestari Utama</t>
  </si>
  <si>
    <t>PT Maju Prima</t>
  </si>
  <si>
    <t>PT Mulia Raya</t>
  </si>
  <si>
    <t>PT Niaga Consulting</t>
  </si>
  <si>
    <t>PT Nusa Corp</t>
  </si>
  <si>
    <t>PT Nusa Industri</t>
  </si>
  <si>
    <t>PT Optima Mulia</t>
  </si>
  <si>
    <t>PT Optima Perdana</t>
  </si>
  <si>
    <t>PT Persada Distribusi</t>
  </si>
  <si>
    <t>PT Persada Global</t>
  </si>
  <si>
    <t>PT Persada Makmur</t>
  </si>
  <si>
    <t>PT Rejeki Inovasi</t>
  </si>
  <si>
    <t>PT Sakti Indonesia</t>
  </si>
  <si>
    <t>PT Sejahtera Consulting</t>
  </si>
  <si>
    <t>PT Sentra Makmur</t>
  </si>
  <si>
    <t>PT Sukses Group</t>
  </si>
  <si>
    <t>PT Sukses Kencana</t>
  </si>
  <si>
    <t>PT Teknologi Utara</t>
  </si>
  <si>
    <t>PT Unggul Cemerlang</t>
  </si>
  <si>
    <t>PT Unggul Nusantara</t>
  </si>
  <si>
    <t>PT Unggul Perdana</t>
  </si>
  <si>
    <t>PT Xandra Logistik</t>
  </si>
  <si>
    <t>PT Yudha Raya</t>
  </si>
  <si>
    <t>PT Zenith Indonesia</t>
  </si>
  <si>
    <t>PT Zenith Sentosa</t>
  </si>
  <si>
    <t>CV Abadi Cemerlang</t>
  </si>
  <si>
    <t>CV Indah Perkasa</t>
  </si>
  <si>
    <t>CV Niaga Teknik</t>
  </si>
  <si>
    <t>CV Zenith Barat</t>
  </si>
  <si>
    <t>PT Elang Indonesia</t>
  </si>
  <si>
    <t>PT Elang Konstruksi</t>
  </si>
  <si>
    <t>PT Niaga Bersama</t>
  </si>
  <si>
    <t>PT Pratama Inovasi</t>
  </si>
  <si>
    <t>Simbol Ground Truth</t>
  </si>
  <si>
    <t>O</t>
  </si>
  <si>
    <t>Patuh (X)</t>
  </si>
  <si>
    <t>Kurang Patuh (O)</t>
  </si>
  <si>
    <t>Tidak Patuh (Y)</t>
  </si>
  <si>
    <t>Y</t>
  </si>
  <si>
    <t>X</t>
  </si>
  <si>
    <t>KETERANGAN SIMBOL GROUND TRUTH</t>
  </si>
  <si>
    <t>Patuh (Tepat Waktu ≥ 55%)</t>
  </si>
  <si>
    <t>Kurang Patuh (40% ≤ Tepat Waktu &lt; 55%)</t>
  </si>
  <si>
    <t>Tidak Patuh (Tepat Waktu &lt; 40%)</t>
  </si>
  <si>
    <t>Patuh (Tepat Waktu ≥ 88,5%)</t>
  </si>
  <si>
    <t>Kurang Patuh (76% ≤ Tepat Waktu &lt; 88,5%)</t>
  </si>
  <si>
    <t>Tidak Patuh (Tepat Waktu &lt; 76%)</t>
  </si>
  <si>
    <t>Patuh (Tepat Waktu 29,2% - 43,8%)</t>
  </si>
  <si>
    <t>Kurang Patuh (Tepat Waktu 0,0% - 14,5%)</t>
  </si>
  <si>
    <t>Tidak Patuh (Tepat Waktu 14,6% - 29,1%)</t>
  </si>
  <si>
    <t>Patuh (Tepat Waktu 86,3% - 100,0%)</t>
  </si>
  <si>
    <t>Kurang Patuh (Tepat Waktu 58,3% - 72,2%)</t>
  </si>
  <si>
    <t>Tidak Patuh (Tepat Waktu 72,3% - 86,2%)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</si>
</sst>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4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1"/>
      <name val="Arial"/>
    </font>
    <font>
      <sz val="9"/>
      <name val="Arial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1"/>
      <name val="Cambria"/>
      <family val="1"/>
    </font>
    <font>
      <b/>
      <sz val="11"/>
      <color rgb="FF0070C0"/>
      <name val="Cambria"/>
      <family val="1"/>
    </font>
    <font>
      <b/>
      <sz val="11"/>
      <color rgb="FFC00000"/>
      <name val="Cambria"/>
      <family val="1"/>
    </font>
    <font>
      <b/>
      <sz val="11"/>
      <color rgb="FF008000"/>
      <name val="Cambria"/>
      <family val="1"/>
    </font>
  </fonts>
  <fills count="2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0E7490"/>
      </patternFill>
    </fill>
    <fill>
      <patternFill patternType="solid">
        <fgColor rgb="FF7C3AED"/>
      </patternFill>
    </fill>
    <fill>
      <patternFill patternType="solid">
        <fgColor rgb="FF4338CA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D1FAE5"/>
      </patternFill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FEF9C3"/>
      </patternFill>
    </fill>
    <fill>
      <patternFill patternType="solid">
        <fgColor rgb="FF4F46E5"/>
        <bgColor rgb="FF4338CA"/>
      </patternFill>
    </fill>
    <fill>
      <patternFill patternType="solid">
        <fgColor rgb="FF7C3AED"/>
        <bgColor rgb="FF4F46E5"/>
      </patternFill>
    </fill>
    <fill>
      <patternFill patternType="solid">
        <fgColor rgb="FF4338CA"/>
        <bgColor rgb="FF4F46E5"/>
      </patternFill>
    </fill>
    <fill>
      <patternFill patternType="solid">
        <fgColor rgb="FFEFF6FF"/>
        <bgColor rgb="FFF3F4F6"/>
      </patternFill>
    </fill>
    <fill>
      <patternFill patternType="solid">
        <fgColor theme="6" tint="0.39997558519241921"/>
        <bgColor rgb="FFFEF3C7"/>
      </patternFill>
    </fill>
    <fill>
      <patternFill patternType="solid">
        <fgColor rgb="FFF3F4F6"/>
        <bgColor rgb="FFEFF6FF"/>
      </patternFill>
    </fill>
    <fill>
      <patternFill patternType="solid">
        <fgColor theme="2"/>
        <bgColor rgb="FFFEF9C3"/>
      </patternFill>
    </fill>
    <fill>
      <patternFill patternType="solid">
        <fgColor rgb="FFD1FAE5"/>
        <bgColor rgb="FFEFF6FF"/>
      </patternFill>
    </fill>
    <fill>
      <patternFill patternType="solid">
        <fgColor rgb="FFFEE2E2"/>
        <bgColor rgb="FFFEF3C7"/>
      </patternFill>
    </fill>
    <fill>
      <patternFill patternType="solid">
        <fgColor rgb="FFFEF9C3"/>
        <bgColor rgb="FFFEF3C7"/>
      </patternFill>
    </fill>
    <fill>
      <patternFill patternType="solid">
        <fgColor theme="2"/>
        <bgColor rgb="FFFEF3C7"/>
      </patternFill>
    </fill>
    <fill>
      <patternFill patternType="solid">
        <fgColor rgb="FFFEF3C7"/>
        <bgColor rgb="FFFEF9C3"/>
      </patternFill>
    </fill>
    <fill>
      <patternFill patternType="solid">
        <fgColor theme="9" tint="0.59999389629810485"/>
        <bgColor rgb="FFEFF6FF"/>
      </patternFill>
    </fill>
    <fill>
      <patternFill patternType="solid">
        <fgColor theme="5" tint="0.39997558519241921"/>
        <bgColor rgb="FFEFF6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3" fillId="6" borderId="0" xfId="0" applyFont="1" applyFill="1"/>
    <xf numFmtId="164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165" fontId="4" fillId="8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9" borderId="0" xfId="0" applyFont="1" applyFill="1"/>
    <xf numFmtId="0" fontId="4" fillId="9" borderId="0" xfId="0" applyFont="1" applyFill="1"/>
    <xf numFmtId="165" fontId="3" fillId="9" borderId="0" xfId="0" applyNumberFormat="1" applyFont="1" applyFill="1" applyAlignment="1">
      <alignment horizontal="center"/>
    </xf>
    <xf numFmtId="0" fontId="4" fillId="10" borderId="0" xfId="0" applyFont="1" applyFill="1"/>
    <xf numFmtId="0" fontId="4" fillId="8" borderId="0" xfId="0" applyFont="1" applyFill="1"/>
    <xf numFmtId="0" fontId="4" fillId="6" borderId="0" xfId="0" applyFont="1" applyFill="1"/>
    <xf numFmtId="0" fontId="4" fillId="11" borderId="0" xfId="0" applyFont="1" applyFill="1"/>
    <xf numFmtId="165" fontId="4" fillId="8" borderId="0" xfId="0" applyNumberFormat="1" applyFont="1" applyFill="1"/>
    <xf numFmtId="10" fontId="4" fillId="8" borderId="0" xfId="0" applyNumberFormat="1" applyFont="1" applyFill="1"/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0" borderId="0" xfId="0"/>
    <xf numFmtId="0" fontId="5" fillId="5" borderId="0" xfId="0" applyFont="1" applyFill="1"/>
    <xf numFmtId="0" fontId="1" fillId="2" borderId="0" xfId="0" applyFont="1" applyFill="1"/>
    <xf numFmtId="0" fontId="4" fillId="6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7" fillId="0" borderId="0" xfId="0" applyFont="1" applyAlignment="1">
      <alignment wrapText="1"/>
    </xf>
    <xf numFmtId="0" fontId="6" fillId="6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10" fillId="0" borderId="0" xfId="0" applyFont="1"/>
    <xf numFmtId="164" fontId="10" fillId="7" borderId="0" xfId="0" applyNumberFormat="1" applyFont="1" applyFill="1" applyAlignment="1">
      <alignment horizontal="center"/>
    </xf>
    <xf numFmtId="0" fontId="11" fillId="0" borderId="0" xfId="0" applyFont="1"/>
    <xf numFmtId="0" fontId="11" fillId="10" borderId="0" xfId="0" applyFont="1" applyFill="1" applyAlignment="1">
      <alignment horizontal="center"/>
    </xf>
    <xf numFmtId="0" fontId="10" fillId="9" borderId="0" xfId="0" applyFont="1" applyFill="1"/>
    <xf numFmtId="0" fontId="11" fillId="9" borderId="0" xfId="0" applyFont="1" applyFill="1"/>
    <xf numFmtId="0" fontId="11" fillId="6" borderId="0" xfId="0" applyFont="1" applyFill="1" applyAlignment="1">
      <alignment horizontal="center"/>
    </xf>
    <xf numFmtId="0" fontId="11" fillId="8" borderId="0" xfId="0" applyFont="1" applyFill="1"/>
    <xf numFmtId="0" fontId="11" fillId="11" borderId="0" xfId="0" applyFont="1" applyFill="1"/>
    <xf numFmtId="0" fontId="8" fillId="2" borderId="0" xfId="0" applyFont="1" applyFill="1"/>
    <xf numFmtId="0" fontId="11" fillId="8" borderId="0" xfId="0" applyFont="1" applyFill="1" applyAlignment="1">
      <alignment horizontal="center"/>
    </xf>
    <xf numFmtId="165" fontId="11" fillId="8" borderId="0" xfId="0" applyNumberFormat="1" applyFont="1" applyFill="1"/>
    <xf numFmtId="10" fontId="11" fillId="8" borderId="0" xfId="0" applyNumberFormat="1" applyFont="1" applyFill="1"/>
    <xf numFmtId="0" fontId="8" fillId="5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3" fillId="0" borderId="0" xfId="0" applyFont="1" applyAlignment="1">
      <alignment wrapText="1"/>
    </xf>
    <xf numFmtId="0" fontId="12" fillId="6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8" fillId="12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/>
    </xf>
    <xf numFmtId="164" fontId="10" fillId="15" borderId="0" xfId="0" applyNumberFormat="1" applyFont="1" applyFill="1" applyAlignment="1">
      <alignment horizontal="center"/>
    </xf>
    <xf numFmtId="0" fontId="14" fillId="16" borderId="0" xfId="0" applyFont="1" applyFill="1" applyAlignment="1">
      <alignment horizontal="center"/>
    </xf>
    <xf numFmtId="0" fontId="10" fillId="17" borderId="0" xfId="0" applyFont="1" applyFill="1"/>
    <xf numFmtId="0" fontId="11" fillId="17" borderId="0" xfId="0" applyFont="1" applyFill="1"/>
    <xf numFmtId="0" fontId="14" fillId="18" borderId="0" xfId="0" applyFont="1" applyFill="1" applyAlignment="1">
      <alignment horizontal="center"/>
    </xf>
    <xf numFmtId="0" fontId="11" fillId="19" borderId="0" xfId="0" applyFont="1" applyFill="1"/>
    <xf numFmtId="0" fontId="14" fillId="20" borderId="0" xfId="0" applyFont="1" applyFill="1" applyAlignment="1">
      <alignment horizontal="center"/>
    </xf>
    <xf numFmtId="0" fontId="11" fillId="21" borderId="0" xfId="0" applyFont="1" applyFill="1"/>
    <xf numFmtId="0" fontId="14" fillId="22" borderId="0" xfId="0" applyFont="1" applyFill="1" applyAlignment="1">
      <alignment horizontal="center"/>
    </xf>
    <xf numFmtId="0" fontId="8" fillId="12" borderId="0" xfId="0" applyFont="1" applyFill="1"/>
    <xf numFmtId="165" fontId="11" fillId="19" borderId="0" xfId="0" applyNumberFormat="1" applyFont="1" applyFill="1"/>
    <xf numFmtId="10" fontId="11" fillId="19" borderId="0" xfId="0" applyNumberFormat="1" applyFont="1" applyFill="1"/>
    <xf numFmtId="0" fontId="8" fillId="14" borderId="0" xfId="0" applyFont="1" applyFill="1" applyAlignment="1">
      <alignment horizontal="center" vertical="center"/>
    </xf>
    <xf numFmtId="0" fontId="14" fillId="19" borderId="0" xfId="0" applyFont="1" applyFill="1" applyAlignment="1">
      <alignment horizontal="center"/>
    </xf>
    <xf numFmtId="0" fontId="14" fillId="23" borderId="0" xfId="0" applyFont="1" applyFill="1" applyAlignment="1">
      <alignment horizontal="center"/>
    </xf>
    <xf numFmtId="0" fontId="11" fillId="19" borderId="0" xfId="0" applyFont="1" applyFill="1" applyAlignment="1">
      <alignment horizontal="center"/>
    </xf>
    <xf numFmtId="0" fontId="11" fillId="24" borderId="0" xfId="0" applyFont="1" applyFill="1" applyAlignment="1">
      <alignment horizontal="center"/>
    </xf>
    <xf numFmtId="0" fontId="11" fillId="25" borderId="0" xfId="0" applyFont="1" applyFill="1" applyAlignment="1">
      <alignment horizontal="center"/>
    </xf>
    <xf numFmtId="0" fontId="12" fillId="19" borderId="0" xfId="0" applyFont="1" applyFill="1" applyAlignment="1">
      <alignment horizontal="center"/>
    </xf>
    <xf numFmtId="0" fontId="12" fillId="23" borderId="0" xfId="0" applyFont="1" applyFill="1" applyAlignment="1">
      <alignment horizontal="center"/>
    </xf>
    <xf numFmtId="0" fontId="12" fillId="20" borderId="0" xfId="0" applyFont="1" applyFill="1" applyAlignment="1">
      <alignment horizontal="center"/>
    </xf>
    <xf numFmtId="0" fontId="14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workbookViewId="0">
      <pane ySplit="1" topLeftCell="A43" activePane="bottomLeft" state="frozen"/>
      <selection pane="bottomLeft" activeCell="F193" sqref="F116:F193"/>
    </sheetView>
  </sheetViews>
  <sheetFormatPr defaultRowHeight="14.4" x14ac:dyDescent="0.3"/>
  <cols>
    <col min="1" max="1" width="6" customWidth="1"/>
    <col min="2" max="2" width="24" customWidth="1"/>
    <col min="3" max="3" width="14" customWidth="1"/>
    <col min="4" max="4" width="16" customWidth="1"/>
    <col min="5" max="5" width="20" customWidth="1"/>
    <col min="6" max="9" width="14" customWidth="1"/>
    <col min="10" max="13" width="16" customWidth="1"/>
    <col min="14" max="14" width="55" customWidth="1"/>
    <col min="16" max="16" width="22" customWidth="1"/>
    <col min="17" max="17" width="10" customWidth="1"/>
    <col min="18" max="18" width="13" customWidth="1"/>
    <col min="19" max="20" width="12" customWidth="1"/>
    <col min="21" max="21" width="20" customWidth="1"/>
    <col min="22" max="22" width="16" customWidth="1"/>
  </cols>
  <sheetData>
    <row r="1" spans="1:21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O1" s="22" t="s">
        <v>13</v>
      </c>
      <c r="P1" s="23"/>
      <c r="Q1" s="23"/>
      <c r="R1" s="23"/>
      <c r="S1" s="23"/>
      <c r="T1" s="23"/>
      <c r="U1" s="23"/>
    </row>
    <row r="2" spans="1:21" ht="39.6" x14ac:dyDescent="0.3">
      <c r="A2" s="4">
        <v>1</v>
      </c>
      <c r="B2" s="4" t="s">
        <v>14</v>
      </c>
      <c r="C2" s="5" t="s">
        <v>15</v>
      </c>
      <c r="D2" s="6" t="s">
        <v>16</v>
      </c>
      <c r="E2" s="4" t="str">
        <f t="shared" ref="E2:E33" si="0">IF(OR(AND(C2="Cluster 1", D2="Tidak Patuh"), AND(C2="Cluster 2", D2="Patuh"), AND(C2="Cluster 3", D2="Patuh"), AND(C2="Cluster 4", D2="Kurang Patuh")), "Sesuai Mayoritas", "Meleset")</f>
        <v>Sesuai Mayoritas</v>
      </c>
      <c r="F2" s="7">
        <v>0.41699999999999998</v>
      </c>
      <c r="G2" s="7">
        <v>0</v>
      </c>
      <c r="H2" s="7">
        <v>0.58299999999999996</v>
      </c>
      <c r="I2" s="8">
        <v>-2726.3</v>
      </c>
      <c r="J2" s="9">
        <v>0.21609999999999999</v>
      </c>
      <c r="K2" s="10">
        <v>0.81820000000000004</v>
      </c>
      <c r="L2" s="10">
        <v>0.74590000000000001</v>
      </c>
      <c r="M2" s="10">
        <v>0.90759999999999996</v>
      </c>
      <c r="O2" s="1" t="s">
        <v>17</v>
      </c>
      <c r="P2" s="1" t="s">
        <v>18</v>
      </c>
      <c r="Q2" s="1" t="s">
        <v>19</v>
      </c>
      <c r="R2" s="1" t="s">
        <v>16</v>
      </c>
      <c r="S2" s="1" t="s">
        <v>20</v>
      </c>
      <c r="T2" s="1" t="s">
        <v>21</v>
      </c>
      <c r="U2" s="1" t="s">
        <v>22</v>
      </c>
    </row>
    <row r="3" spans="1:21" x14ac:dyDescent="0.3">
      <c r="A3" s="11">
        <v>2</v>
      </c>
      <c r="B3" s="11" t="s">
        <v>23</v>
      </c>
      <c r="C3" s="12" t="s">
        <v>15</v>
      </c>
      <c r="D3" s="6" t="s">
        <v>19</v>
      </c>
      <c r="E3" s="11" t="str">
        <f t="shared" si="0"/>
        <v>Meleset</v>
      </c>
      <c r="F3" s="7">
        <v>0.52100000000000002</v>
      </c>
      <c r="G3" s="7">
        <v>0</v>
      </c>
      <c r="H3" s="7">
        <v>0.47899999999999998</v>
      </c>
      <c r="I3" s="8">
        <v>-4827.6400000000003</v>
      </c>
      <c r="J3" s="9">
        <v>0.14380000000000001</v>
      </c>
      <c r="K3" s="13">
        <v>0.55579999999999996</v>
      </c>
      <c r="L3" s="13">
        <v>0.7026</v>
      </c>
      <c r="M3" s="13">
        <v>1.0452999999999999</v>
      </c>
      <c r="O3" s="5" t="s">
        <v>15</v>
      </c>
      <c r="P3" s="4">
        <f>COUNTIFS($C$2:$C$201, O3, $D$2:$D$201, P$2)</f>
        <v>2</v>
      </c>
      <c r="Q3" s="4">
        <f>COUNTIFS($C$2:$C$201, O3, $D$2:$D$201, Q$2)</f>
        <v>8</v>
      </c>
      <c r="R3" s="4">
        <f>COUNTIFS($C$2:$C$201, O3, $D$2:$D$201, R$2)</f>
        <v>34</v>
      </c>
      <c r="S3" s="5">
        <f>SUM(P3:R3)</f>
        <v>44</v>
      </c>
      <c r="T3" s="14" t="str">
        <f>IF(MAX(P3:R3)=P3, "Patuh", IF(MAX(P3:R3)=Q3, "Kurang Patuh", "Tidak Patuh"))</f>
        <v>Tidak Patuh</v>
      </c>
      <c r="U3" s="15">
        <f>MAX(P3:R3)</f>
        <v>34</v>
      </c>
    </row>
    <row r="4" spans="1:21" x14ac:dyDescent="0.3">
      <c r="A4" s="4">
        <v>3</v>
      </c>
      <c r="B4" s="4" t="s">
        <v>24</v>
      </c>
      <c r="C4" s="5" t="s">
        <v>15</v>
      </c>
      <c r="D4" s="6" t="s">
        <v>19</v>
      </c>
      <c r="E4" s="4" t="str">
        <f t="shared" si="0"/>
        <v>Meleset</v>
      </c>
      <c r="F4" s="7">
        <v>0.54200000000000004</v>
      </c>
      <c r="G4" s="7">
        <v>0</v>
      </c>
      <c r="H4" s="7">
        <v>0.45800000000000002</v>
      </c>
      <c r="I4" s="8">
        <v>-2175.58</v>
      </c>
      <c r="J4" s="9">
        <v>0.31809999999999999</v>
      </c>
      <c r="K4" s="10">
        <v>0.68020000000000003</v>
      </c>
      <c r="L4" s="10">
        <v>0.52029999999999998</v>
      </c>
      <c r="M4" s="10">
        <v>0.84340000000000004</v>
      </c>
      <c r="O4" s="5" t="s">
        <v>25</v>
      </c>
      <c r="P4" s="4">
        <f>COUNTIFS($C$2:$C$201, O4, $D$2:$D$201, P$2)</f>
        <v>70</v>
      </c>
      <c r="Q4" s="4">
        <f>COUNTIFS($C$2:$C$201, O4, $D$2:$D$201, Q$2)</f>
        <v>0</v>
      </c>
      <c r="R4" s="4">
        <f>COUNTIFS($C$2:$C$201, O4, $D$2:$D$201, R$2)</f>
        <v>0</v>
      </c>
      <c r="S4" s="5">
        <f>SUM(P4:R4)</f>
        <v>70</v>
      </c>
      <c r="T4" s="15" t="str">
        <f>IF(MAX(P4:R4)=P4, "Patuh", IF(MAX(P4:R4)=Q4, "Kurang Patuh", "Tidak Patuh"))</f>
        <v>Patuh</v>
      </c>
      <c r="U4" s="15">
        <f>MAX(P4:R4)</f>
        <v>70</v>
      </c>
    </row>
    <row r="5" spans="1:21" x14ac:dyDescent="0.3">
      <c r="A5" s="11">
        <v>4</v>
      </c>
      <c r="B5" s="11" t="s">
        <v>26</v>
      </c>
      <c r="C5" s="12" t="s">
        <v>15</v>
      </c>
      <c r="D5" s="6" t="s">
        <v>16</v>
      </c>
      <c r="E5" s="11" t="str">
        <f t="shared" si="0"/>
        <v>Sesuai Mayoritas</v>
      </c>
      <c r="F5" s="7">
        <v>0.375</v>
      </c>
      <c r="G5" s="7">
        <v>0</v>
      </c>
      <c r="H5" s="7">
        <v>0.625</v>
      </c>
      <c r="I5" s="8">
        <v>-5576.67</v>
      </c>
      <c r="J5" s="9">
        <v>0.24310000000000001</v>
      </c>
      <c r="K5" s="13">
        <v>0.80459999999999998</v>
      </c>
      <c r="L5" s="13">
        <v>0.96909999999999996</v>
      </c>
      <c r="M5" s="13">
        <v>1.1592</v>
      </c>
      <c r="O5" s="5" t="s">
        <v>27</v>
      </c>
      <c r="P5" s="4">
        <f>COUNTIFS($C$2:$C$201, O5, $D$2:$D$201, P$2)</f>
        <v>77</v>
      </c>
      <c r="Q5" s="4">
        <f>COUNTIFS($C$2:$C$201, O5, $D$2:$D$201, Q$2)</f>
        <v>1</v>
      </c>
      <c r="R5" s="4">
        <f>COUNTIFS($C$2:$C$201, O5, $D$2:$D$201, R$2)</f>
        <v>0</v>
      </c>
      <c r="S5" s="5">
        <f>SUM(P5:R5)</f>
        <v>78</v>
      </c>
      <c r="T5" s="15" t="str">
        <f>IF(MAX(P5:R5)=P5, "Patuh", IF(MAX(P5:R5)=Q5, "Kurang Patuh", "Tidak Patuh"))</f>
        <v>Patuh</v>
      </c>
      <c r="U5" s="15">
        <f>MAX(P5:R5)</f>
        <v>77</v>
      </c>
    </row>
    <row r="6" spans="1:21" x14ac:dyDescent="0.3">
      <c r="A6" s="4">
        <v>5</v>
      </c>
      <c r="B6" s="4" t="s">
        <v>28</v>
      </c>
      <c r="C6" s="5" t="s">
        <v>15</v>
      </c>
      <c r="D6" s="6" t="s">
        <v>19</v>
      </c>
      <c r="E6" s="4" t="str">
        <f t="shared" si="0"/>
        <v>Meleset</v>
      </c>
      <c r="F6" s="7">
        <v>0.54200000000000004</v>
      </c>
      <c r="G6" s="7">
        <v>0</v>
      </c>
      <c r="H6" s="7">
        <v>0.45800000000000002</v>
      </c>
      <c r="I6" s="8">
        <v>-1939.65</v>
      </c>
      <c r="J6" s="9">
        <v>0.34799999999999998</v>
      </c>
      <c r="K6" s="10">
        <v>0.70240000000000002</v>
      </c>
      <c r="L6" s="10">
        <v>0.51759999999999995</v>
      </c>
      <c r="M6" s="10">
        <v>0.83140000000000003</v>
      </c>
      <c r="O6" s="5" t="s">
        <v>29</v>
      </c>
      <c r="P6" s="4">
        <f>COUNTIFS($C$2:$C$201, O6, $D$2:$D$201, P$2)</f>
        <v>0</v>
      </c>
      <c r="Q6" s="4">
        <f>COUNTIFS($C$2:$C$201, O6, $D$2:$D$201, Q$2)</f>
        <v>7</v>
      </c>
      <c r="R6" s="4">
        <f>COUNTIFS($C$2:$C$201, O6, $D$2:$D$201, R$2)</f>
        <v>1</v>
      </c>
      <c r="S6" s="5">
        <f>SUM(P6:R6)</f>
        <v>8</v>
      </c>
      <c r="T6" s="16" t="str">
        <f>IF(MAX(P6:R6)=P6, "Patuh", IF(MAX(P6:R6)=Q6, "Kurang Patuh", "Tidak Patuh"))</f>
        <v>Kurang Patuh</v>
      </c>
      <c r="U6" s="15">
        <f>MAX(P6:R6)</f>
        <v>7</v>
      </c>
    </row>
    <row r="7" spans="1:21" x14ac:dyDescent="0.3">
      <c r="A7" s="11">
        <v>6</v>
      </c>
      <c r="B7" s="11" t="s">
        <v>30</v>
      </c>
      <c r="C7" s="12" t="s">
        <v>15</v>
      </c>
      <c r="D7" s="6" t="s">
        <v>16</v>
      </c>
      <c r="E7" s="11" t="str">
        <f t="shared" si="0"/>
        <v>Sesuai Mayoritas</v>
      </c>
      <c r="F7" s="7">
        <v>0.438</v>
      </c>
      <c r="G7" s="7">
        <v>0</v>
      </c>
      <c r="H7" s="7">
        <v>0.56200000000000006</v>
      </c>
      <c r="I7" s="8">
        <v>-4649.1000000000004</v>
      </c>
      <c r="J7" s="9">
        <v>7.4700000000000003E-2</v>
      </c>
      <c r="K7" s="13">
        <v>0.70209999999999995</v>
      </c>
      <c r="L7" s="13">
        <v>0.80789999999999995</v>
      </c>
      <c r="M7" s="13">
        <v>1.0469999999999999</v>
      </c>
      <c r="O7" s="17" t="s">
        <v>20</v>
      </c>
      <c r="P7" s="17">
        <f>SUM(P3:P6)</f>
        <v>149</v>
      </c>
      <c r="Q7" s="17">
        <f>SUM(Q3:Q6)</f>
        <v>16</v>
      </c>
      <c r="R7" s="17">
        <f>SUM(R3:R6)</f>
        <v>35</v>
      </c>
      <c r="S7" s="17">
        <f>SUM(S3:S6)</f>
        <v>200</v>
      </c>
      <c r="T7" s="5" t="s">
        <v>31</v>
      </c>
      <c r="U7" s="17">
        <f>SUM(U3:U6)</f>
        <v>188</v>
      </c>
    </row>
    <row r="8" spans="1:21" x14ac:dyDescent="0.3">
      <c r="A8" s="4">
        <v>7</v>
      </c>
      <c r="B8" s="4" t="s">
        <v>32</v>
      </c>
      <c r="C8" s="5" t="s">
        <v>15</v>
      </c>
      <c r="D8" s="6" t="s">
        <v>16</v>
      </c>
      <c r="E8" s="4" t="str">
        <f t="shared" si="0"/>
        <v>Sesuai Mayoritas</v>
      </c>
      <c r="F8" s="7">
        <v>0.29199999999999998</v>
      </c>
      <c r="G8" s="7">
        <v>0</v>
      </c>
      <c r="H8" s="7">
        <v>0.70799999999999996</v>
      </c>
      <c r="I8" s="8">
        <v>-4467.07</v>
      </c>
      <c r="J8" s="9">
        <v>0.2888</v>
      </c>
      <c r="K8" s="10">
        <v>0.9556</v>
      </c>
      <c r="L8" s="10">
        <v>1.0236000000000001</v>
      </c>
      <c r="M8" s="10">
        <v>1.1086</v>
      </c>
    </row>
    <row r="9" spans="1:21" x14ac:dyDescent="0.3">
      <c r="A9" s="11">
        <v>8</v>
      </c>
      <c r="B9" s="11" t="s">
        <v>33</v>
      </c>
      <c r="C9" s="12" t="s">
        <v>15</v>
      </c>
      <c r="D9" s="6" t="s">
        <v>18</v>
      </c>
      <c r="E9" s="11" t="str">
        <f t="shared" si="0"/>
        <v>Meleset</v>
      </c>
      <c r="F9" s="7">
        <v>0.64600000000000002</v>
      </c>
      <c r="G9" s="7">
        <v>0</v>
      </c>
      <c r="H9" s="7">
        <v>0.35399999999999998</v>
      </c>
      <c r="I9" s="8">
        <v>-3805.45</v>
      </c>
      <c r="J9" s="9">
        <v>0.33100000000000002</v>
      </c>
      <c r="K9" s="13">
        <v>0.3977</v>
      </c>
      <c r="L9" s="13">
        <v>0.44390000000000002</v>
      </c>
      <c r="M9" s="13">
        <v>0.96679999999999999</v>
      </c>
      <c r="O9" s="25" t="s">
        <v>34</v>
      </c>
      <c r="P9" s="23"/>
      <c r="Q9" s="23"/>
      <c r="R9" s="23"/>
      <c r="S9" s="23"/>
      <c r="T9" s="23"/>
    </row>
    <row r="10" spans="1:21" x14ac:dyDescent="0.3">
      <c r="A10" s="4">
        <v>9</v>
      </c>
      <c r="B10" s="4" t="s">
        <v>35</v>
      </c>
      <c r="C10" s="5" t="s">
        <v>15</v>
      </c>
      <c r="D10" s="6" t="s">
        <v>18</v>
      </c>
      <c r="E10" s="4" t="str">
        <f t="shared" si="0"/>
        <v>Meleset</v>
      </c>
      <c r="F10" s="7">
        <v>0.60399999999999998</v>
      </c>
      <c r="G10" s="7">
        <v>0</v>
      </c>
      <c r="H10" s="7">
        <v>0.39600000000000002</v>
      </c>
      <c r="I10" s="8">
        <v>-6009.34</v>
      </c>
      <c r="J10" s="9">
        <v>0.36299999999999999</v>
      </c>
      <c r="K10" s="10">
        <v>0.41870000000000002</v>
      </c>
      <c r="L10" s="10">
        <v>0.72619999999999996</v>
      </c>
      <c r="M10" s="10">
        <v>1.1640999999999999</v>
      </c>
      <c r="O10" s="4" t="s">
        <v>36</v>
      </c>
      <c r="T10" s="5">
        <f>U7</f>
        <v>188</v>
      </c>
    </row>
    <row r="11" spans="1:21" x14ac:dyDescent="0.3">
      <c r="A11" s="11">
        <v>10</v>
      </c>
      <c r="B11" s="11" t="s">
        <v>37</v>
      </c>
      <c r="C11" s="12" t="s">
        <v>15</v>
      </c>
      <c r="D11" s="6" t="s">
        <v>16</v>
      </c>
      <c r="E11" s="11" t="str">
        <f t="shared" si="0"/>
        <v>Sesuai Mayoritas</v>
      </c>
      <c r="F11" s="7">
        <v>0.438</v>
      </c>
      <c r="G11" s="7">
        <v>0</v>
      </c>
      <c r="H11" s="7">
        <v>0.56200000000000006</v>
      </c>
      <c r="I11" s="8">
        <v>-5132.05</v>
      </c>
      <c r="J11" s="9">
        <v>0.1389</v>
      </c>
      <c r="K11" s="13">
        <v>0.69610000000000005</v>
      </c>
      <c r="L11" s="13">
        <v>0.84440000000000004</v>
      </c>
      <c r="M11" s="13">
        <v>1.0916999999999999</v>
      </c>
      <c r="O11" s="4" t="s">
        <v>38</v>
      </c>
      <c r="T11" s="5">
        <f>S7</f>
        <v>200</v>
      </c>
    </row>
    <row r="12" spans="1:21" x14ac:dyDescent="0.3">
      <c r="A12" s="4">
        <v>11</v>
      </c>
      <c r="B12" s="4" t="s">
        <v>39</v>
      </c>
      <c r="C12" s="5" t="s">
        <v>15</v>
      </c>
      <c r="D12" s="6" t="s">
        <v>16</v>
      </c>
      <c r="E12" s="4" t="str">
        <f t="shared" si="0"/>
        <v>Sesuai Mayoritas</v>
      </c>
      <c r="F12" s="7">
        <v>0.41699999999999998</v>
      </c>
      <c r="G12" s="7">
        <v>0</v>
      </c>
      <c r="H12" s="7">
        <v>0.58299999999999996</v>
      </c>
      <c r="I12" s="8">
        <v>-5529.75</v>
      </c>
      <c r="J12" s="9">
        <v>0.20319999999999999</v>
      </c>
      <c r="K12" s="10">
        <v>0.73229999999999995</v>
      </c>
      <c r="L12" s="10">
        <v>0.90620000000000001</v>
      </c>
      <c r="M12" s="10">
        <v>1.1373</v>
      </c>
      <c r="O12" s="4" t="s">
        <v>40</v>
      </c>
      <c r="T12" s="18">
        <f>T10/T11</f>
        <v>0.94</v>
      </c>
    </row>
    <row r="13" spans="1:21" x14ac:dyDescent="0.3">
      <c r="A13" s="11">
        <v>12</v>
      </c>
      <c r="B13" s="11" t="s">
        <v>41</v>
      </c>
      <c r="C13" s="12" t="s">
        <v>15</v>
      </c>
      <c r="D13" s="6" t="s">
        <v>16</v>
      </c>
      <c r="E13" s="11" t="str">
        <f t="shared" si="0"/>
        <v>Sesuai Mayoritas</v>
      </c>
      <c r="F13" s="7">
        <v>0.47899999999999998</v>
      </c>
      <c r="G13" s="7">
        <v>0</v>
      </c>
      <c r="H13" s="7">
        <v>0.52100000000000002</v>
      </c>
      <c r="I13" s="8">
        <v>-5008</v>
      </c>
      <c r="J13" s="9">
        <v>0.1235</v>
      </c>
      <c r="K13" s="13">
        <v>0.62509999999999999</v>
      </c>
      <c r="L13" s="13">
        <v>0.77539999999999998</v>
      </c>
      <c r="M13" s="13">
        <v>1.0688</v>
      </c>
      <c r="O13" s="4" t="s">
        <v>42</v>
      </c>
      <c r="T13" s="19">
        <f>T12</f>
        <v>0.94</v>
      </c>
    </row>
    <row r="14" spans="1:21" x14ac:dyDescent="0.3">
      <c r="A14" s="4">
        <v>13</v>
      </c>
      <c r="B14" s="4" t="s">
        <v>43</v>
      </c>
      <c r="C14" s="5" t="s">
        <v>15</v>
      </c>
      <c r="D14" s="6" t="s">
        <v>16</v>
      </c>
      <c r="E14" s="4" t="str">
        <f t="shared" si="0"/>
        <v>Sesuai Mayoritas</v>
      </c>
      <c r="F14" s="7">
        <v>0.41699999999999998</v>
      </c>
      <c r="G14" s="7">
        <v>0</v>
      </c>
      <c r="H14" s="7">
        <v>0.58299999999999996</v>
      </c>
      <c r="I14" s="8">
        <v>-1086.2</v>
      </c>
      <c r="J14" s="9">
        <v>0.4415</v>
      </c>
      <c r="K14" s="10">
        <v>0.94469999999999998</v>
      </c>
      <c r="L14" s="10">
        <v>0.73929999999999996</v>
      </c>
      <c r="M14" s="10">
        <v>0.83299999999999996</v>
      </c>
    </row>
    <row r="15" spans="1:21" x14ac:dyDescent="0.3">
      <c r="A15" s="11">
        <v>14</v>
      </c>
      <c r="B15" s="11" t="s">
        <v>44</v>
      </c>
      <c r="C15" s="12" t="s">
        <v>15</v>
      </c>
      <c r="D15" s="6" t="s">
        <v>16</v>
      </c>
      <c r="E15" s="11" t="str">
        <f t="shared" si="0"/>
        <v>Sesuai Mayoritas</v>
      </c>
      <c r="F15" s="7">
        <v>0.33300000000000002</v>
      </c>
      <c r="G15" s="7">
        <v>0</v>
      </c>
      <c r="H15" s="7">
        <v>0.66700000000000004</v>
      </c>
      <c r="I15" s="8">
        <v>-4801.38</v>
      </c>
      <c r="J15" s="9">
        <v>0.23130000000000001</v>
      </c>
      <c r="K15" s="13">
        <v>0.87890000000000001</v>
      </c>
      <c r="L15" s="13">
        <v>0.97699999999999998</v>
      </c>
      <c r="M15" s="13">
        <v>1.1095999999999999</v>
      </c>
      <c r="O15" s="24" t="s">
        <v>45</v>
      </c>
      <c r="P15" s="23"/>
      <c r="Q15" s="23"/>
      <c r="R15" s="23"/>
      <c r="S15" s="23"/>
      <c r="T15" s="23"/>
      <c r="U15" s="23"/>
    </row>
    <row r="16" spans="1:21" ht="26.4" x14ac:dyDescent="0.3">
      <c r="A16" s="4">
        <v>15</v>
      </c>
      <c r="B16" s="4" t="s">
        <v>46</v>
      </c>
      <c r="C16" s="5" t="s">
        <v>15</v>
      </c>
      <c r="D16" s="6" t="s">
        <v>16</v>
      </c>
      <c r="E16" s="4" t="str">
        <f t="shared" si="0"/>
        <v>Sesuai Mayoritas</v>
      </c>
      <c r="F16" s="7">
        <v>0.5</v>
      </c>
      <c r="G16" s="7">
        <v>0</v>
      </c>
      <c r="H16" s="7">
        <v>0.5</v>
      </c>
      <c r="I16" s="8">
        <v>-5515</v>
      </c>
      <c r="J16" s="9">
        <v>0.20300000000000001</v>
      </c>
      <c r="K16" s="10">
        <v>0.58809999999999996</v>
      </c>
      <c r="L16" s="10">
        <v>0.79269999999999996</v>
      </c>
      <c r="M16" s="10">
        <v>1.1144000000000001</v>
      </c>
      <c r="O16" s="3" t="s">
        <v>47</v>
      </c>
      <c r="P16" s="3" t="s">
        <v>48</v>
      </c>
      <c r="Q16" s="3" t="s">
        <v>49</v>
      </c>
      <c r="R16" s="3" t="s">
        <v>50</v>
      </c>
      <c r="S16" s="3" t="s">
        <v>8</v>
      </c>
      <c r="T16" s="3" t="s">
        <v>51</v>
      </c>
    </row>
    <row r="17" spans="1:20" x14ac:dyDescent="0.3">
      <c r="A17" s="11">
        <v>16</v>
      </c>
      <c r="B17" s="11" t="s">
        <v>52</v>
      </c>
      <c r="C17" s="12" t="s">
        <v>15</v>
      </c>
      <c r="D17" s="6" t="s">
        <v>16</v>
      </c>
      <c r="E17" s="11" t="str">
        <f t="shared" si="0"/>
        <v>Sesuai Mayoritas</v>
      </c>
      <c r="F17" s="7">
        <v>0.41699999999999998</v>
      </c>
      <c r="G17" s="7">
        <v>0</v>
      </c>
      <c r="H17" s="7">
        <v>0.58299999999999996</v>
      </c>
      <c r="I17" s="8">
        <v>-3319.7</v>
      </c>
      <c r="J17" s="9">
        <v>0.13950000000000001</v>
      </c>
      <c r="K17" s="13">
        <v>0.7843</v>
      </c>
      <c r="L17" s="13">
        <v>0.76570000000000005</v>
      </c>
      <c r="M17" s="13">
        <v>0.94710000000000005</v>
      </c>
      <c r="O17" s="5" t="s">
        <v>15</v>
      </c>
      <c r="P17" s="20">
        <v>0.45689999999999997</v>
      </c>
      <c r="Q17" s="20">
        <v>0</v>
      </c>
      <c r="R17" s="20">
        <v>0.54310000000000003</v>
      </c>
      <c r="S17" s="21">
        <v>-4176.43</v>
      </c>
      <c r="T17" s="14" t="s">
        <v>16</v>
      </c>
    </row>
    <row r="18" spans="1:20" x14ac:dyDescent="0.3">
      <c r="A18" s="4">
        <v>17</v>
      </c>
      <c r="B18" s="4" t="s">
        <v>53</v>
      </c>
      <c r="C18" s="5" t="s">
        <v>15</v>
      </c>
      <c r="D18" s="6" t="s">
        <v>16</v>
      </c>
      <c r="E18" s="4" t="str">
        <f t="shared" si="0"/>
        <v>Sesuai Mayoritas</v>
      </c>
      <c r="F18" s="7">
        <v>0.5</v>
      </c>
      <c r="G18" s="7">
        <v>0</v>
      </c>
      <c r="H18" s="7">
        <v>0.5</v>
      </c>
      <c r="I18" s="8">
        <v>-6146.75</v>
      </c>
      <c r="J18" s="9">
        <v>0.2878</v>
      </c>
      <c r="K18" s="10">
        <v>0.59889999999999999</v>
      </c>
      <c r="L18" s="10">
        <v>0.85489999999999999</v>
      </c>
      <c r="M18" s="10">
        <v>1.1793</v>
      </c>
      <c r="O18" s="5" t="s">
        <v>25</v>
      </c>
      <c r="P18" s="20">
        <v>0.83960000000000001</v>
      </c>
      <c r="Q18" s="20">
        <v>0</v>
      </c>
      <c r="R18" s="20">
        <v>0.16039999999999999</v>
      </c>
      <c r="S18" s="21">
        <v>-5322.09</v>
      </c>
      <c r="T18" s="15" t="s">
        <v>18</v>
      </c>
    </row>
    <row r="19" spans="1:20" x14ac:dyDescent="0.3">
      <c r="A19" s="11">
        <v>18</v>
      </c>
      <c r="B19" s="11" t="s">
        <v>54</v>
      </c>
      <c r="C19" s="12" t="s">
        <v>15</v>
      </c>
      <c r="D19" s="6" t="s">
        <v>16</v>
      </c>
      <c r="E19" s="11" t="str">
        <f t="shared" si="0"/>
        <v>Sesuai Mayoritas</v>
      </c>
      <c r="F19" s="7">
        <v>0.47899999999999998</v>
      </c>
      <c r="G19" s="7">
        <v>0</v>
      </c>
      <c r="H19" s="7">
        <v>0.52100000000000002</v>
      </c>
      <c r="I19" s="8">
        <v>-5134.57</v>
      </c>
      <c r="J19" s="9">
        <v>0.1406</v>
      </c>
      <c r="K19" s="13">
        <v>0.62409999999999999</v>
      </c>
      <c r="L19" s="13">
        <v>0.78610000000000002</v>
      </c>
      <c r="M19" s="13">
        <v>1.0809</v>
      </c>
      <c r="O19" s="5" t="s">
        <v>27</v>
      </c>
      <c r="P19" s="20">
        <v>0.83760000000000001</v>
      </c>
      <c r="Q19" s="20">
        <v>4.3E-3</v>
      </c>
      <c r="R19" s="20">
        <v>0.15809999999999999</v>
      </c>
      <c r="S19" s="21">
        <v>-1755.39</v>
      </c>
      <c r="T19" s="15" t="s">
        <v>18</v>
      </c>
    </row>
    <row r="20" spans="1:20" x14ac:dyDescent="0.3">
      <c r="A20" s="4">
        <v>19</v>
      </c>
      <c r="B20" s="4" t="s">
        <v>55</v>
      </c>
      <c r="C20" s="5" t="s">
        <v>15</v>
      </c>
      <c r="D20" s="6" t="s">
        <v>16</v>
      </c>
      <c r="E20" s="4" t="str">
        <f t="shared" si="0"/>
        <v>Sesuai Mayoritas</v>
      </c>
      <c r="F20" s="7">
        <v>0.375</v>
      </c>
      <c r="G20" s="7">
        <v>0</v>
      </c>
      <c r="H20" s="7">
        <v>0.625</v>
      </c>
      <c r="I20" s="8">
        <v>-5471.17</v>
      </c>
      <c r="J20" s="9">
        <v>0.23119999999999999</v>
      </c>
      <c r="K20" s="10">
        <v>0.80400000000000005</v>
      </c>
      <c r="L20" s="10">
        <v>0.96089999999999998</v>
      </c>
      <c r="M20" s="10">
        <v>1.149</v>
      </c>
      <c r="O20" s="5" t="s">
        <v>29</v>
      </c>
      <c r="P20" s="20">
        <v>0.2031</v>
      </c>
      <c r="Q20" s="20">
        <v>0.52859999999999996</v>
      </c>
      <c r="R20" s="20">
        <v>0.26819999999999999</v>
      </c>
      <c r="S20" s="21">
        <v>81.45</v>
      </c>
      <c r="T20" s="16" t="s">
        <v>19</v>
      </c>
    </row>
    <row r="21" spans="1:20" x14ac:dyDescent="0.3">
      <c r="A21" s="11">
        <v>20</v>
      </c>
      <c r="B21" s="11" t="s">
        <v>56</v>
      </c>
      <c r="C21" s="12" t="s">
        <v>15</v>
      </c>
      <c r="D21" s="6" t="s">
        <v>16</v>
      </c>
      <c r="E21" s="11" t="str">
        <f t="shared" si="0"/>
        <v>Sesuai Mayoritas</v>
      </c>
      <c r="F21" s="7">
        <v>0.47899999999999998</v>
      </c>
      <c r="G21" s="7">
        <v>0</v>
      </c>
      <c r="H21" s="7">
        <v>0.52100000000000002</v>
      </c>
      <c r="I21" s="8">
        <v>-690.48</v>
      </c>
      <c r="J21" s="9">
        <v>0.49330000000000002</v>
      </c>
      <c r="K21" s="13">
        <v>0.9032</v>
      </c>
      <c r="L21" s="13">
        <v>0.64290000000000003</v>
      </c>
      <c r="M21" s="13">
        <v>0.79910000000000003</v>
      </c>
    </row>
    <row r="22" spans="1:20" x14ac:dyDescent="0.3">
      <c r="A22" s="4">
        <v>21</v>
      </c>
      <c r="B22" s="4" t="s">
        <v>57</v>
      </c>
      <c r="C22" s="5" t="s">
        <v>15</v>
      </c>
      <c r="D22" s="6" t="s">
        <v>19</v>
      </c>
      <c r="E22" s="4" t="str">
        <f t="shared" si="0"/>
        <v>Meleset</v>
      </c>
      <c r="F22" s="7">
        <v>0.54200000000000004</v>
      </c>
      <c r="G22" s="7">
        <v>0</v>
      </c>
      <c r="H22" s="7">
        <v>0.45800000000000002</v>
      </c>
      <c r="I22" s="8">
        <v>-6151.96</v>
      </c>
      <c r="J22" s="9">
        <v>0.31490000000000001</v>
      </c>
      <c r="K22" s="10">
        <v>0.52849999999999997</v>
      </c>
      <c r="L22" s="10">
        <v>0.8075</v>
      </c>
      <c r="M22" s="10">
        <v>1.1761999999999999</v>
      </c>
    </row>
    <row r="23" spans="1:20" x14ac:dyDescent="0.3">
      <c r="A23" s="11">
        <v>22</v>
      </c>
      <c r="B23" s="11" t="s">
        <v>58</v>
      </c>
      <c r="C23" s="12" t="s">
        <v>15</v>
      </c>
      <c r="D23" s="6" t="s">
        <v>16</v>
      </c>
      <c r="E23" s="11" t="str">
        <f t="shared" si="0"/>
        <v>Sesuai Mayoritas</v>
      </c>
      <c r="F23" s="7">
        <v>0.438</v>
      </c>
      <c r="G23" s="7">
        <v>0</v>
      </c>
      <c r="H23" s="7">
        <v>0.56200000000000006</v>
      </c>
      <c r="I23" s="8">
        <v>-5871.05</v>
      </c>
      <c r="J23" s="9">
        <v>0.2414</v>
      </c>
      <c r="K23" s="13">
        <v>0.69989999999999997</v>
      </c>
      <c r="L23" s="13">
        <v>0.9073</v>
      </c>
      <c r="M23" s="13">
        <v>1.1645000000000001</v>
      </c>
    </row>
    <row r="24" spans="1:20" x14ac:dyDescent="0.3">
      <c r="A24" s="4">
        <v>23</v>
      </c>
      <c r="B24" s="4" t="s">
        <v>59</v>
      </c>
      <c r="C24" s="5" t="s">
        <v>15</v>
      </c>
      <c r="D24" s="6" t="s">
        <v>16</v>
      </c>
      <c r="E24" s="4" t="str">
        <f t="shared" si="0"/>
        <v>Sesuai Mayoritas</v>
      </c>
      <c r="F24" s="7">
        <v>0.438</v>
      </c>
      <c r="G24" s="7">
        <v>0</v>
      </c>
      <c r="H24" s="7">
        <v>0.56200000000000006</v>
      </c>
      <c r="I24" s="8">
        <v>-3042.76</v>
      </c>
      <c r="J24" s="9">
        <v>0.16339999999999999</v>
      </c>
      <c r="K24" s="10">
        <v>0.76639999999999997</v>
      </c>
      <c r="L24" s="10">
        <v>0.72040000000000004</v>
      </c>
      <c r="M24" s="10">
        <v>0.91930000000000001</v>
      </c>
    </row>
    <row r="25" spans="1:20" x14ac:dyDescent="0.3">
      <c r="A25" s="11">
        <v>24</v>
      </c>
      <c r="B25" s="11" t="s">
        <v>60</v>
      </c>
      <c r="C25" s="12" t="s">
        <v>15</v>
      </c>
      <c r="D25" s="6" t="s">
        <v>19</v>
      </c>
      <c r="E25" s="11" t="str">
        <f t="shared" si="0"/>
        <v>Meleset</v>
      </c>
      <c r="F25" s="7">
        <v>0.52100000000000002</v>
      </c>
      <c r="G25" s="7">
        <v>0</v>
      </c>
      <c r="H25" s="7">
        <v>0.47899999999999998</v>
      </c>
      <c r="I25" s="8">
        <v>-3531.68</v>
      </c>
      <c r="J25" s="9">
        <v>0.14319999999999999</v>
      </c>
      <c r="K25" s="13">
        <v>0.60660000000000003</v>
      </c>
      <c r="L25" s="13">
        <v>0.60709999999999997</v>
      </c>
      <c r="M25" s="13">
        <v>0.93420000000000003</v>
      </c>
    </row>
    <row r="26" spans="1:20" x14ac:dyDescent="0.3">
      <c r="A26" s="4">
        <v>25</v>
      </c>
      <c r="B26" s="4" t="s">
        <v>61</v>
      </c>
      <c r="C26" s="5" t="s">
        <v>15</v>
      </c>
      <c r="D26" s="6" t="s">
        <v>16</v>
      </c>
      <c r="E26" s="4" t="str">
        <f t="shared" si="0"/>
        <v>Sesuai Mayoritas</v>
      </c>
      <c r="F26" s="7">
        <v>0.39600000000000002</v>
      </c>
      <c r="G26" s="7">
        <v>0</v>
      </c>
      <c r="H26" s="7">
        <v>0.60399999999999998</v>
      </c>
      <c r="I26" s="8">
        <v>-6027.47</v>
      </c>
      <c r="J26" s="9">
        <v>0.28170000000000001</v>
      </c>
      <c r="K26" s="10">
        <v>0.77410000000000001</v>
      </c>
      <c r="L26" s="10">
        <v>0.97719999999999996</v>
      </c>
      <c r="M26" s="10">
        <v>1.1951000000000001</v>
      </c>
    </row>
    <row r="27" spans="1:20" x14ac:dyDescent="0.3">
      <c r="A27" s="11">
        <v>26</v>
      </c>
      <c r="B27" s="11" t="s">
        <v>62</v>
      </c>
      <c r="C27" s="12" t="s">
        <v>15</v>
      </c>
      <c r="D27" s="6" t="s">
        <v>19</v>
      </c>
      <c r="E27" s="11" t="str">
        <f t="shared" si="0"/>
        <v>Meleset</v>
      </c>
      <c r="F27" s="7">
        <v>0.52100000000000002</v>
      </c>
      <c r="G27" s="7">
        <v>0</v>
      </c>
      <c r="H27" s="7">
        <v>0.47899999999999998</v>
      </c>
      <c r="I27" s="8">
        <v>-6159.88</v>
      </c>
      <c r="J27" s="9">
        <v>0.3009</v>
      </c>
      <c r="K27" s="13">
        <v>0.56399999999999995</v>
      </c>
      <c r="L27" s="13">
        <v>0.83179999999999998</v>
      </c>
      <c r="M27" s="13">
        <v>1.1782999999999999</v>
      </c>
    </row>
    <row r="28" spans="1:20" x14ac:dyDescent="0.3">
      <c r="A28" s="4">
        <v>27</v>
      </c>
      <c r="B28" s="4" t="s">
        <v>63</v>
      </c>
      <c r="C28" s="5" t="s">
        <v>15</v>
      </c>
      <c r="D28" s="6" t="s">
        <v>16</v>
      </c>
      <c r="E28" s="4" t="str">
        <f t="shared" si="0"/>
        <v>Sesuai Mayoritas</v>
      </c>
      <c r="F28" s="7">
        <v>0.5</v>
      </c>
      <c r="G28" s="7">
        <v>0</v>
      </c>
      <c r="H28" s="7">
        <v>0.5</v>
      </c>
      <c r="I28" s="8">
        <v>-3328.83</v>
      </c>
      <c r="J28" s="9">
        <v>0.1409</v>
      </c>
      <c r="K28" s="10">
        <v>0.65129999999999999</v>
      </c>
      <c r="L28" s="10">
        <v>0.62949999999999995</v>
      </c>
      <c r="M28" s="10">
        <v>0.92200000000000004</v>
      </c>
    </row>
    <row r="29" spans="1:20" x14ac:dyDescent="0.3">
      <c r="A29" s="11">
        <v>28</v>
      </c>
      <c r="B29" s="11" t="s">
        <v>64</v>
      </c>
      <c r="C29" s="12" t="s">
        <v>15</v>
      </c>
      <c r="D29" s="6" t="s">
        <v>16</v>
      </c>
      <c r="E29" s="11" t="str">
        <f t="shared" si="0"/>
        <v>Sesuai Mayoritas</v>
      </c>
      <c r="F29" s="7">
        <v>0.45800000000000002</v>
      </c>
      <c r="G29" s="7">
        <v>0</v>
      </c>
      <c r="H29" s="7">
        <v>0.54200000000000004</v>
      </c>
      <c r="I29" s="8">
        <v>-4472.91</v>
      </c>
      <c r="J29" s="9">
        <v>4.19E-2</v>
      </c>
      <c r="K29" s="13">
        <v>0.6704</v>
      </c>
      <c r="L29" s="13">
        <v>0.76419999999999999</v>
      </c>
      <c r="M29" s="13">
        <v>1.0248999999999999</v>
      </c>
    </row>
    <row r="30" spans="1:20" x14ac:dyDescent="0.3">
      <c r="A30" s="4">
        <v>29</v>
      </c>
      <c r="B30" s="4" t="s">
        <v>65</v>
      </c>
      <c r="C30" s="5" t="s">
        <v>15</v>
      </c>
      <c r="D30" s="6" t="s">
        <v>19</v>
      </c>
      <c r="E30" s="4" t="str">
        <f t="shared" si="0"/>
        <v>Meleset</v>
      </c>
      <c r="F30" s="7">
        <v>0.52100000000000002</v>
      </c>
      <c r="G30" s="7">
        <v>0</v>
      </c>
      <c r="H30" s="7">
        <v>0.47899999999999998</v>
      </c>
      <c r="I30" s="8">
        <v>-6569.96</v>
      </c>
      <c r="J30" s="9">
        <v>0.3553</v>
      </c>
      <c r="K30" s="10">
        <v>0.57889999999999997</v>
      </c>
      <c r="L30" s="10">
        <v>0.87590000000000001</v>
      </c>
      <c r="M30" s="10">
        <v>1.2221</v>
      </c>
    </row>
    <row r="31" spans="1:20" x14ac:dyDescent="0.3">
      <c r="A31" s="11">
        <v>30</v>
      </c>
      <c r="B31" s="11" t="s">
        <v>66</v>
      </c>
      <c r="C31" s="12" t="s">
        <v>15</v>
      </c>
      <c r="D31" s="6" t="s">
        <v>16</v>
      </c>
      <c r="E31" s="11" t="str">
        <f t="shared" si="0"/>
        <v>Sesuai Mayoritas</v>
      </c>
      <c r="F31" s="7">
        <v>0.5</v>
      </c>
      <c r="G31" s="7">
        <v>0</v>
      </c>
      <c r="H31" s="7">
        <v>0.5</v>
      </c>
      <c r="I31" s="8">
        <v>-3845.12</v>
      </c>
      <c r="J31" s="9">
        <v>8.7999999999999995E-2</v>
      </c>
      <c r="K31" s="13">
        <v>0.62339999999999995</v>
      </c>
      <c r="L31" s="13">
        <v>0.65869999999999995</v>
      </c>
      <c r="M31" s="13">
        <v>0.96199999999999997</v>
      </c>
    </row>
    <row r="32" spans="1:20" x14ac:dyDescent="0.3">
      <c r="A32" s="4">
        <v>31</v>
      </c>
      <c r="B32" s="4" t="s">
        <v>67</v>
      </c>
      <c r="C32" s="5" t="s">
        <v>15</v>
      </c>
      <c r="D32" s="6" t="s">
        <v>19</v>
      </c>
      <c r="E32" s="4" t="str">
        <f t="shared" si="0"/>
        <v>Meleset</v>
      </c>
      <c r="F32" s="7">
        <v>0.54200000000000004</v>
      </c>
      <c r="G32" s="7">
        <v>0</v>
      </c>
      <c r="H32" s="7">
        <v>0.45800000000000002</v>
      </c>
      <c r="I32" s="8">
        <v>-2541.88</v>
      </c>
      <c r="J32" s="9">
        <v>0.27329999999999999</v>
      </c>
      <c r="K32" s="10">
        <v>0.64770000000000005</v>
      </c>
      <c r="L32" s="10">
        <v>0.52869999999999995</v>
      </c>
      <c r="M32" s="10">
        <v>0.86429999999999996</v>
      </c>
    </row>
    <row r="33" spans="1:13" x14ac:dyDescent="0.3">
      <c r="A33" s="11">
        <v>32</v>
      </c>
      <c r="B33" s="11" t="s">
        <v>68</v>
      </c>
      <c r="C33" s="12" t="s">
        <v>15</v>
      </c>
      <c r="D33" s="6" t="s">
        <v>16</v>
      </c>
      <c r="E33" s="11" t="str">
        <f t="shared" si="0"/>
        <v>Sesuai Mayoritas</v>
      </c>
      <c r="F33" s="7">
        <v>0.41699999999999998</v>
      </c>
      <c r="G33" s="7">
        <v>0</v>
      </c>
      <c r="H33" s="7">
        <v>0.58299999999999996</v>
      </c>
      <c r="I33" s="8">
        <v>-5256.7</v>
      </c>
      <c r="J33" s="9">
        <v>0.1676</v>
      </c>
      <c r="K33" s="13">
        <v>0.73170000000000002</v>
      </c>
      <c r="L33" s="13">
        <v>0.8841</v>
      </c>
      <c r="M33" s="13">
        <v>1.1109</v>
      </c>
    </row>
    <row r="34" spans="1:13" x14ac:dyDescent="0.3">
      <c r="A34" s="4">
        <v>33</v>
      </c>
      <c r="B34" s="4" t="s">
        <v>69</v>
      </c>
      <c r="C34" s="5" t="s">
        <v>15</v>
      </c>
      <c r="D34" s="6" t="s">
        <v>16</v>
      </c>
      <c r="E34" s="4" t="str">
        <f t="shared" ref="E34:E65" si="1">IF(OR(AND(C34="Cluster 1", D34="Tidak Patuh"), AND(C34="Cluster 2", D34="Patuh"), AND(C34="Cluster 3", D34="Patuh"), AND(C34="Cluster 4", D34="Kurang Patuh")), "Sesuai Mayoritas", "Meleset")</f>
        <v>Sesuai Mayoritas</v>
      </c>
      <c r="F34" s="7">
        <v>0.47899999999999998</v>
      </c>
      <c r="G34" s="7">
        <v>0</v>
      </c>
      <c r="H34" s="7">
        <v>0.52100000000000002</v>
      </c>
      <c r="I34" s="8">
        <v>-6718.91</v>
      </c>
      <c r="J34" s="9">
        <v>0.36080000000000001</v>
      </c>
      <c r="K34" s="10">
        <v>0.65390000000000004</v>
      </c>
      <c r="L34" s="10">
        <v>0.93869999999999998</v>
      </c>
      <c r="M34" s="10">
        <v>1.2439</v>
      </c>
    </row>
    <row r="35" spans="1:13" x14ac:dyDescent="0.3">
      <c r="A35" s="11">
        <v>34</v>
      </c>
      <c r="B35" s="11" t="s">
        <v>70</v>
      </c>
      <c r="C35" s="12" t="s">
        <v>15</v>
      </c>
      <c r="D35" s="6" t="s">
        <v>16</v>
      </c>
      <c r="E35" s="11" t="str">
        <f t="shared" si="1"/>
        <v>Sesuai Mayoritas</v>
      </c>
      <c r="F35" s="7">
        <v>0.33300000000000002</v>
      </c>
      <c r="G35" s="7">
        <v>0</v>
      </c>
      <c r="H35" s="7">
        <v>0.66700000000000004</v>
      </c>
      <c r="I35" s="8">
        <v>-2037</v>
      </c>
      <c r="J35" s="9">
        <v>0.36990000000000001</v>
      </c>
      <c r="K35" s="13">
        <v>0.9909</v>
      </c>
      <c r="L35" s="13">
        <v>0.87829999999999997</v>
      </c>
      <c r="M35" s="13">
        <v>0.91979999999999995</v>
      </c>
    </row>
    <row r="36" spans="1:13" x14ac:dyDescent="0.3">
      <c r="A36" s="4">
        <v>35</v>
      </c>
      <c r="B36" s="4" t="s">
        <v>71</v>
      </c>
      <c r="C36" s="5" t="s">
        <v>15</v>
      </c>
      <c r="D36" s="6" t="s">
        <v>16</v>
      </c>
      <c r="E36" s="4" t="str">
        <f t="shared" si="1"/>
        <v>Sesuai Mayoritas</v>
      </c>
      <c r="F36" s="7">
        <v>0.47899999999999998</v>
      </c>
      <c r="G36" s="7">
        <v>0</v>
      </c>
      <c r="H36" s="7">
        <v>0.52100000000000002</v>
      </c>
      <c r="I36" s="8">
        <v>-6088.7</v>
      </c>
      <c r="J36" s="9">
        <v>0.27250000000000002</v>
      </c>
      <c r="K36" s="10">
        <v>0.63290000000000002</v>
      </c>
      <c r="L36" s="10">
        <v>0.87429999999999997</v>
      </c>
      <c r="M36" s="10">
        <v>1.1766000000000001</v>
      </c>
    </row>
    <row r="37" spans="1:13" x14ac:dyDescent="0.3">
      <c r="A37" s="11">
        <v>36</v>
      </c>
      <c r="B37" s="11" t="s">
        <v>72</v>
      </c>
      <c r="C37" s="12" t="s">
        <v>15</v>
      </c>
      <c r="D37" s="6" t="s">
        <v>16</v>
      </c>
      <c r="E37" s="11" t="str">
        <f t="shared" si="1"/>
        <v>Sesuai Mayoritas</v>
      </c>
      <c r="F37" s="7">
        <v>0.39600000000000002</v>
      </c>
      <c r="G37" s="7">
        <v>0</v>
      </c>
      <c r="H37" s="7">
        <v>0.60399999999999998</v>
      </c>
      <c r="I37" s="8">
        <v>-4960.95</v>
      </c>
      <c r="J37" s="9">
        <v>0.153</v>
      </c>
      <c r="K37" s="13">
        <v>0.76939999999999997</v>
      </c>
      <c r="L37" s="13">
        <v>0.89229999999999998</v>
      </c>
      <c r="M37" s="13">
        <v>1.0915999999999999</v>
      </c>
    </row>
    <row r="38" spans="1:13" x14ac:dyDescent="0.3">
      <c r="A38" s="4">
        <v>37</v>
      </c>
      <c r="B38" s="4" t="s">
        <v>73</v>
      </c>
      <c r="C38" s="5" t="s">
        <v>15</v>
      </c>
      <c r="D38" s="6" t="s">
        <v>16</v>
      </c>
      <c r="E38" s="4" t="str">
        <f t="shared" si="1"/>
        <v>Sesuai Mayoritas</v>
      </c>
      <c r="F38" s="7">
        <v>0.39600000000000002</v>
      </c>
      <c r="G38" s="7">
        <v>0</v>
      </c>
      <c r="H38" s="7">
        <v>0.60399999999999998</v>
      </c>
      <c r="I38" s="8">
        <v>-1901.26</v>
      </c>
      <c r="J38" s="9">
        <v>0.33789999999999998</v>
      </c>
      <c r="K38" s="10">
        <v>0.90680000000000005</v>
      </c>
      <c r="L38" s="10">
        <v>0.76949999999999996</v>
      </c>
      <c r="M38" s="10">
        <v>0.87390000000000001</v>
      </c>
    </row>
    <row r="39" spans="1:13" x14ac:dyDescent="0.3">
      <c r="A39" s="11">
        <v>38</v>
      </c>
      <c r="B39" s="11" t="s">
        <v>74</v>
      </c>
      <c r="C39" s="12" t="s">
        <v>15</v>
      </c>
      <c r="D39" s="6" t="s">
        <v>16</v>
      </c>
      <c r="E39" s="11" t="str">
        <f t="shared" si="1"/>
        <v>Sesuai Mayoritas</v>
      </c>
      <c r="F39" s="7">
        <v>0.375</v>
      </c>
      <c r="G39" s="7">
        <v>0</v>
      </c>
      <c r="H39" s="7">
        <v>0.625</v>
      </c>
      <c r="I39" s="8">
        <v>-2160.2199999999998</v>
      </c>
      <c r="J39" s="9">
        <v>0.31780000000000003</v>
      </c>
      <c r="K39" s="13">
        <v>0.91920000000000002</v>
      </c>
      <c r="L39" s="13">
        <v>0.80730000000000002</v>
      </c>
      <c r="M39" s="13">
        <v>0.89810000000000001</v>
      </c>
    </row>
    <row r="40" spans="1:13" x14ac:dyDescent="0.3">
      <c r="A40" s="4">
        <v>39</v>
      </c>
      <c r="B40" s="4" t="s">
        <v>75</v>
      </c>
      <c r="C40" s="5" t="s">
        <v>15</v>
      </c>
      <c r="D40" s="6" t="s">
        <v>16</v>
      </c>
      <c r="E40" s="4" t="str">
        <f t="shared" si="1"/>
        <v>Sesuai Mayoritas</v>
      </c>
      <c r="F40" s="7">
        <v>0.39600000000000002</v>
      </c>
      <c r="G40" s="7">
        <v>0</v>
      </c>
      <c r="H40" s="7">
        <v>0.60399999999999998</v>
      </c>
      <c r="I40" s="8">
        <v>-2407.5300000000002</v>
      </c>
      <c r="J40" s="9">
        <v>0.27100000000000002</v>
      </c>
      <c r="K40" s="10">
        <v>0.87090000000000001</v>
      </c>
      <c r="L40" s="10">
        <v>0.77470000000000006</v>
      </c>
      <c r="M40" s="10">
        <v>0.89929999999999999</v>
      </c>
    </row>
    <row r="41" spans="1:13" x14ac:dyDescent="0.3">
      <c r="A41" s="11">
        <v>40</v>
      </c>
      <c r="B41" s="11" t="s">
        <v>76</v>
      </c>
      <c r="C41" s="12" t="s">
        <v>15</v>
      </c>
      <c r="D41" s="6" t="s">
        <v>16</v>
      </c>
      <c r="E41" s="11" t="str">
        <f t="shared" si="1"/>
        <v>Sesuai Mayoritas</v>
      </c>
      <c r="F41" s="7">
        <v>0.5</v>
      </c>
      <c r="G41" s="7">
        <v>0</v>
      </c>
      <c r="H41" s="7">
        <v>0.5</v>
      </c>
      <c r="I41" s="8">
        <v>-394.5</v>
      </c>
      <c r="J41" s="9">
        <v>0.53869999999999996</v>
      </c>
      <c r="K41" s="13">
        <v>0.91020000000000001</v>
      </c>
      <c r="L41" s="13">
        <v>0.61950000000000005</v>
      </c>
      <c r="M41" s="13">
        <v>0.7893</v>
      </c>
    </row>
    <row r="42" spans="1:13" x14ac:dyDescent="0.3">
      <c r="A42" s="4">
        <v>41</v>
      </c>
      <c r="B42" s="4" t="s">
        <v>77</v>
      </c>
      <c r="C42" s="5" t="s">
        <v>15</v>
      </c>
      <c r="D42" s="6" t="s">
        <v>16</v>
      </c>
      <c r="E42" s="4" t="str">
        <f t="shared" si="1"/>
        <v>Sesuai Mayoritas</v>
      </c>
      <c r="F42" s="7">
        <v>0.41699999999999998</v>
      </c>
      <c r="G42" s="7">
        <v>0</v>
      </c>
      <c r="H42" s="7">
        <v>0.58299999999999996</v>
      </c>
      <c r="I42" s="8">
        <v>-4400.8999999999996</v>
      </c>
      <c r="J42" s="9">
        <v>7.6499999999999999E-2</v>
      </c>
      <c r="K42" s="10">
        <v>0.74309999999999998</v>
      </c>
      <c r="L42" s="10">
        <v>0.82269999999999999</v>
      </c>
      <c r="M42" s="10">
        <v>1.0327999999999999</v>
      </c>
    </row>
    <row r="43" spans="1:13" x14ac:dyDescent="0.3">
      <c r="A43" s="11">
        <v>42</v>
      </c>
      <c r="B43" s="11" t="s">
        <v>78</v>
      </c>
      <c r="C43" s="12" t="s">
        <v>15</v>
      </c>
      <c r="D43" s="6" t="s">
        <v>16</v>
      </c>
      <c r="E43" s="11" t="str">
        <f t="shared" si="1"/>
        <v>Sesuai Mayoritas</v>
      </c>
      <c r="F43" s="7">
        <v>0.41699999999999998</v>
      </c>
      <c r="G43" s="7">
        <v>0</v>
      </c>
      <c r="H43" s="7">
        <v>0.58299999999999996</v>
      </c>
      <c r="I43" s="8">
        <v>-3676.8</v>
      </c>
      <c r="J43" s="9">
        <v>9.9099999999999994E-2</v>
      </c>
      <c r="K43" s="13">
        <v>0.76759999999999995</v>
      </c>
      <c r="L43" s="13">
        <v>0.78169999999999995</v>
      </c>
      <c r="M43" s="13">
        <v>0.97360000000000002</v>
      </c>
    </row>
    <row r="44" spans="1:13" x14ac:dyDescent="0.3">
      <c r="A44" s="4">
        <v>43</v>
      </c>
      <c r="B44" s="4" t="s">
        <v>79</v>
      </c>
      <c r="C44" s="5" t="s">
        <v>15</v>
      </c>
      <c r="D44" s="6" t="s">
        <v>16</v>
      </c>
      <c r="E44" s="4" t="str">
        <f t="shared" si="1"/>
        <v>Sesuai Mayoritas</v>
      </c>
      <c r="F44" s="7">
        <v>0.41699999999999998</v>
      </c>
      <c r="G44" s="7">
        <v>0</v>
      </c>
      <c r="H44" s="7">
        <v>0.58299999999999996</v>
      </c>
      <c r="I44" s="8">
        <v>-4495.8</v>
      </c>
      <c r="J44" s="9">
        <v>8.2900000000000001E-2</v>
      </c>
      <c r="K44" s="10">
        <v>0.7409</v>
      </c>
      <c r="L44" s="10">
        <v>0.82889999999999997</v>
      </c>
      <c r="M44" s="10">
        <v>1.0410999999999999</v>
      </c>
    </row>
    <row r="45" spans="1:13" x14ac:dyDescent="0.3">
      <c r="A45" s="11">
        <v>44</v>
      </c>
      <c r="B45" s="11" t="s">
        <v>80</v>
      </c>
      <c r="C45" s="12" t="s">
        <v>15</v>
      </c>
      <c r="D45" s="6" t="s">
        <v>16</v>
      </c>
      <c r="E45" s="11" t="str">
        <f t="shared" si="1"/>
        <v>Sesuai Mayoritas</v>
      </c>
      <c r="F45" s="7">
        <v>0.5</v>
      </c>
      <c r="G45" s="7">
        <v>0</v>
      </c>
      <c r="H45" s="7">
        <v>0.5</v>
      </c>
      <c r="I45" s="8">
        <v>-3708.5</v>
      </c>
      <c r="J45" s="9">
        <v>9.9599999999999994E-2</v>
      </c>
      <c r="K45" s="13">
        <v>0.63009999999999999</v>
      </c>
      <c r="L45" s="13">
        <v>0.65029999999999999</v>
      </c>
      <c r="M45" s="13">
        <v>0.95099999999999996</v>
      </c>
    </row>
    <row r="46" spans="1:13" x14ac:dyDescent="0.3">
      <c r="A46" s="4">
        <v>45</v>
      </c>
      <c r="B46" s="4" t="s">
        <v>81</v>
      </c>
      <c r="C46" s="5" t="s">
        <v>25</v>
      </c>
      <c r="D46" s="6" t="s">
        <v>18</v>
      </c>
      <c r="E46" s="4" t="str">
        <f t="shared" si="1"/>
        <v>Sesuai Mayoritas</v>
      </c>
      <c r="F46" s="7">
        <v>0.68799999999999994</v>
      </c>
      <c r="G46" s="7">
        <v>0</v>
      </c>
      <c r="H46" s="7">
        <v>0.312</v>
      </c>
      <c r="I46" s="8">
        <v>-6355.58</v>
      </c>
      <c r="J46" s="10">
        <v>0.50360000000000005</v>
      </c>
      <c r="K46" s="9">
        <v>0.30080000000000001</v>
      </c>
      <c r="L46" s="10">
        <v>0.70089999999999997</v>
      </c>
      <c r="M46" s="10">
        <v>1.2193000000000001</v>
      </c>
    </row>
    <row r="47" spans="1:13" x14ac:dyDescent="0.3">
      <c r="A47" s="11">
        <v>46</v>
      </c>
      <c r="B47" s="11" t="s">
        <v>82</v>
      </c>
      <c r="C47" s="12" t="s">
        <v>25</v>
      </c>
      <c r="D47" s="6" t="s">
        <v>18</v>
      </c>
      <c r="E47" s="11" t="str">
        <f t="shared" si="1"/>
        <v>Sesuai Mayoritas</v>
      </c>
      <c r="F47" s="7">
        <v>0.83299999999999996</v>
      </c>
      <c r="G47" s="7">
        <v>0</v>
      </c>
      <c r="H47" s="7">
        <v>0.16700000000000001</v>
      </c>
      <c r="I47" s="8">
        <v>-3988.85</v>
      </c>
      <c r="J47" s="13">
        <v>0.65180000000000005</v>
      </c>
      <c r="K47" s="9">
        <v>0.18840000000000001</v>
      </c>
      <c r="L47" s="13">
        <v>0.31540000000000001</v>
      </c>
      <c r="M47" s="13">
        <v>1.0820000000000001</v>
      </c>
    </row>
    <row r="48" spans="1:13" x14ac:dyDescent="0.3">
      <c r="A48" s="4">
        <v>47</v>
      </c>
      <c r="B48" s="4" t="s">
        <v>83</v>
      </c>
      <c r="C48" s="5" t="s">
        <v>25</v>
      </c>
      <c r="D48" s="6" t="s">
        <v>18</v>
      </c>
      <c r="E48" s="4" t="str">
        <f t="shared" si="1"/>
        <v>Sesuai Mayoritas</v>
      </c>
      <c r="F48" s="7">
        <v>0.875</v>
      </c>
      <c r="G48" s="7">
        <v>0</v>
      </c>
      <c r="H48" s="7">
        <v>0.125</v>
      </c>
      <c r="I48" s="8">
        <v>-5266.29</v>
      </c>
      <c r="J48" s="10">
        <v>0.73950000000000005</v>
      </c>
      <c r="K48" s="9">
        <v>6.1800000000000001E-2</v>
      </c>
      <c r="L48" s="10">
        <v>0.499</v>
      </c>
      <c r="M48" s="10">
        <v>1.2185999999999999</v>
      </c>
    </row>
    <row r="49" spans="1:13" x14ac:dyDescent="0.3">
      <c r="A49" s="11">
        <v>48</v>
      </c>
      <c r="B49" s="11" t="s">
        <v>84</v>
      </c>
      <c r="C49" s="12" t="s">
        <v>25</v>
      </c>
      <c r="D49" s="6" t="s">
        <v>18</v>
      </c>
      <c r="E49" s="11" t="str">
        <f t="shared" si="1"/>
        <v>Sesuai Mayoritas</v>
      </c>
      <c r="F49" s="7">
        <v>0.66700000000000004</v>
      </c>
      <c r="G49" s="7">
        <v>0</v>
      </c>
      <c r="H49" s="7">
        <v>0.33300000000000002</v>
      </c>
      <c r="I49" s="8">
        <v>-6800</v>
      </c>
      <c r="J49" s="13">
        <v>0.51839999999999997</v>
      </c>
      <c r="K49" s="9">
        <v>0.36459999999999998</v>
      </c>
      <c r="L49" s="13">
        <v>0.77259999999999995</v>
      </c>
      <c r="M49" s="13">
        <v>1.2605999999999999</v>
      </c>
    </row>
    <row r="50" spans="1:13" x14ac:dyDescent="0.3">
      <c r="A50" s="4">
        <v>49</v>
      </c>
      <c r="B50" s="4" t="s">
        <v>85</v>
      </c>
      <c r="C50" s="5" t="s">
        <v>25</v>
      </c>
      <c r="D50" s="6" t="s">
        <v>18</v>
      </c>
      <c r="E50" s="4" t="str">
        <f t="shared" si="1"/>
        <v>Sesuai Mayoritas</v>
      </c>
      <c r="F50" s="7">
        <v>0.75</v>
      </c>
      <c r="G50" s="7">
        <v>0</v>
      </c>
      <c r="H50" s="7">
        <v>0.25</v>
      </c>
      <c r="I50" s="8">
        <v>-4796.78</v>
      </c>
      <c r="J50" s="10">
        <v>0.51459999999999995</v>
      </c>
      <c r="K50" s="9">
        <v>0.17180000000000001</v>
      </c>
      <c r="L50" s="10">
        <v>0.45679999999999998</v>
      </c>
      <c r="M50" s="10">
        <v>1.0940000000000001</v>
      </c>
    </row>
    <row r="51" spans="1:13" x14ac:dyDescent="0.3">
      <c r="A51" s="11">
        <v>50</v>
      </c>
      <c r="B51" s="11" t="s">
        <v>86</v>
      </c>
      <c r="C51" s="12" t="s">
        <v>25</v>
      </c>
      <c r="D51" s="6" t="s">
        <v>18</v>
      </c>
      <c r="E51" s="11" t="str">
        <f t="shared" si="1"/>
        <v>Sesuai Mayoritas</v>
      </c>
      <c r="F51" s="7">
        <v>1</v>
      </c>
      <c r="G51" s="7">
        <v>0</v>
      </c>
      <c r="H51" s="7">
        <v>0</v>
      </c>
      <c r="I51" s="8">
        <v>-5404.67</v>
      </c>
      <c r="J51" s="13">
        <v>0.95540000000000003</v>
      </c>
      <c r="K51" s="9">
        <v>0.27779999999999999</v>
      </c>
      <c r="L51" s="13">
        <v>0.58420000000000005</v>
      </c>
      <c r="M51" s="13">
        <v>1.3419000000000001</v>
      </c>
    </row>
    <row r="52" spans="1:13" x14ac:dyDescent="0.3">
      <c r="A52" s="4">
        <v>51</v>
      </c>
      <c r="B52" s="4" t="s">
        <v>87</v>
      </c>
      <c r="C52" s="5" t="s">
        <v>25</v>
      </c>
      <c r="D52" s="6" t="s">
        <v>18</v>
      </c>
      <c r="E52" s="4" t="str">
        <f t="shared" si="1"/>
        <v>Sesuai Mayoritas</v>
      </c>
      <c r="F52" s="7">
        <v>0.68799999999999994</v>
      </c>
      <c r="G52" s="7">
        <v>0</v>
      </c>
      <c r="H52" s="7">
        <v>0.312</v>
      </c>
      <c r="I52" s="8">
        <v>-5729.24</v>
      </c>
      <c r="J52" s="10">
        <v>0.4551</v>
      </c>
      <c r="K52" s="9">
        <v>0.26929999999999998</v>
      </c>
      <c r="L52" s="10">
        <v>0.62</v>
      </c>
      <c r="M52" s="10">
        <v>1.155</v>
      </c>
    </row>
    <row r="53" spans="1:13" x14ac:dyDescent="0.3">
      <c r="A53" s="11">
        <v>52</v>
      </c>
      <c r="B53" s="11" t="s">
        <v>88</v>
      </c>
      <c r="C53" s="12" t="s">
        <v>25</v>
      </c>
      <c r="D53" s="6" t="s">
        <v>18</v>
      </c>
      <c r="E53" s="11" t="str">
        <f t="shared" si="1"/>
        <v>Sesuai Mayoritas</v>
      </c>
      <c r="F53" s="7">
        <v>0.66700000000000004</v>
      </c>
      <c r="G53" s="7">
        <v>0</v>
      </c>
      <c r="H53" s="7">
        <v>0.33300000000000002</v>
      </c>
      <c r="I53" s="8">
        <v>-6778.12</v>
      </c>
      <c r="J53" s="13">
        <v>0.51619999999999999</v>
      </c>
      <c r="K53" s="9">
        <v>0.3629</v>
      </c>
      <c r="L53" s="13">
        <v>0.76980000000000004</v>
      </c>
      <c r="M53" s="13">
        <v>1.2583</v>
      </c>
    </row>
    <row r="54" spans="1:13" x14ac:dyDescent="0.3">
      <c r="A54" s="4">
        <v>53</v>
      </c>
      <c r="B54" s="4" t="s">
        <v>89</v>
      </c>
      <c r="C54" s="5" t="s">
        <v>25</v>
      </c>
      <c r="D54" s="6" t="s">
        <v>18</v>
      </c>
      <c r="E54" s="4" t="str">
        <f t="shared" si="1"/>
        <v>Sesuai Mayoritas</v>
      </c>
      <c r="F54" s="7">
        <v>0.95799999999999996</v>
      </c>
      <c r="G54" s="7">
        <v>0</v>
      </c>
      <c r="H54" s="7">
        <v>4.2000000000000003E-2</v>
      </c>
      <c r="I54" s="8">
        <v>-3604.33</v>
      </c>
      <c r="J54" s="10">
        <v>0.87119999999999997</v>
      </c>
      <c r="K54" s="9">
        <v>0.31769999999999998</v>
      </c>
      <c r="L54" s="10">
        <v>0.33119999999999999</v>
      </c>
      <c r="M54" s="10">
        <v>1.1689000000000001</v>
      </c>
    </row>
    <row r="55" spans="1:13" x14ac:dyDescent="0.3">
      <c r="A55" s="11">
        <v>54</v>
      </c>
      <c r="B55" s="11" t="s">
        <v>90</v>
      </c>
      <c r="C55" s="12" t="s">
        <v>25</v>
      </c>
      <c r="D55" s="6" t="s">
        <v>18</v>
      </c>
      <c r="E55" s="11" t="str">
        <f t="shared" si="1"/>
        <v>Sesuai Mayoritas</v>
      </c>
      <c r="F55" s="7">
        <v>0.85399999999999998</v>
      </c>
      <c r="G55" s="7">
        <v>0</v>
      </c>
      <c r="H55" s="7">
        <v>0.14599999999999999</v>
      </c>
      <c r="I55" s="8">
        <v>-4569.41</v>
      </c>
      <c r="J55" s="13">
        <v>0.6895</v>
      </c>
      <c r="K55" s="9">
        <v>0.1091</v>
      </c>
      <c r="L55" s="13">
        <v>0.39779999999999999</v>
      </c>
      <c r="M55" s="13">
        <v>1.1435</v>
      </c>
    </row>
    <row r="56" spans="1:13" x14ac:dyDescent="0.3">
      <c r="A56" s="4">
        <v>55</v>
      </c>
      <c r="B56" s="4" t="s">
        <v>91</v>
      </c>
      <c r="C56" s="5" t="s">
        <v>25</v>
      </c>
      <c r="D56" s="6" t="s">
        <v>18</v>
      </c>
      <c r="E56" s="4" t="str">
        <f t="shared" si="1"/>
        <v>Sesuai Mayoritas</v>
      </c>
      <c r="F56" s="7">
        <v>0.89600000000000002</v>
      </c>
      <c r="G56" s="7">
        <v>0</v>
      </c>
      <c r="H56" s="7">
        <v>0.104</v>
      </c>
      <c r="I56" s="8">
        <v>-4171.28</v>
      </c>
      <c r="J56" s="10">
        <v>0.75939999999999996</v>
      </c>
      <c r="K56" s="9">
        <v>0.1893</v>
      </c>
      <c r="L56" s="10">
        <v>0.35410000000000003</v>
      </c>
      <c r="M56" s="10">
        <v>1.1475</v>
      </c>
    </row>
    <row r="57" spans="1:13" x14ac:dyDescent="0.3">
      <c r="A57" s="11">
        <v>56</v>
      </c>
      <c r="B57" s="11" t="s">
        <v>92</v>
      </c>
      <c r="C57" s="12" t="s">
        <v>25</v>
      </c>
      <c r="D57" s="6" t="s">
        <v>18</v>
      </c>
      <c r="E57" s="11" t="str">
        <f t="shared" si="1"/>
        <v>Sesuai Mayoritas</v>
      </c>
      <c r="F57" s="7">
        <v>0.89600000000000002</v>
      </c>
      <c r="G57" s="7">
        <v>0</v>
      </c>
      <c r="H57" s="7">
        <v>0.104</v>
      </c>
      <c r="I57" s="8">
        <v>-5085.91</v>
      </c>
      <c r="J57" s="13">
        <v>0.77010000000000001</v>
      </c>
      <c r="K57" s="9">
        <v>0.10290000000000001</v>
      </c>
      <c r="L57" s="13">
        <v>0.47960000000000003</v>
      </c>
      <c r="M57" s="13">
        <v>1.22</v>
      </c>
    </row>
    <row r="58" spans="1:13" x14ac:dyDescent="0.3">
      <c r="A58" s="4">
        <v>57</v>
      </c>
      <c r="B58" s="4" t="s">
        <v>93</v>
      </c>
      <c r="C58" s="5" t="s">
        <v>25</v>
      </c>
      <c r="D58" s="6" t="s">
        <v>18</v>
      </c>
      <c r="E58" s="4" t="str">
        <f t="shared" si="1"/>
        <v>Sesuai Mayoritas</v>
      </c>
      <c r="F58" s="7">
        <v>0.70799999999999996</v>
      </c>
      <c r="G58" s="7">
        <v>0</v>
      </c>
      <c r="H58" s="7">
        <v>0.29199999999999998</v>
      </c>
      <c r="I58" s="8">
        <v>-4608.88</v>
      </c>
      <c r="J58" s="10">
        <v>0.43919999999999998</v>
      </c>
      <c r="K58" s="9">
        <v>0.24840000000000001</v>
      </c>
      <c r="L58" s="10">
        <v>0.46300000000000002</v>
      </c>
      <c r="M58" s="10">
        <v>1.0570999999999999</v>
      </c>
    </row>
    <row r="59" spans="1:13" x14ac:dyDescent="0.3">
      <c r="A59" s="11">
        <v>58</v>
      </c>
      <c r="B59" s="11" t="s">
        <v>94</v>
      </c>
      <c r="C59" s="12" t="s">
        <v>25</v>
      </c>
      <c r="D59" s="6" t="s">
        <v>18</v>
      </c>
      <c r="E59" s="11" t="str">
        <f t="shared" si="1"/>
        <v>Sesuai Mayoritas</v>
      </c>
      <c r="F59" s="7">
        <v>0.93799999999999994</v>
      </c>
      <c r="G59" s="7">
        <v>0</v>
      </c>
      <c r="H59" s="7">
        <v>6.2E-2</v>
      </c>
      <c r="I59" s="8">
        <v>-4953.5600000000004</v>
      </c>
      <c r="J59" s="13">
        <v>0.83860000000000001</v>
      </c>
      <c r="K59" s="9">
        <v>0.1772</v>
      </c>
      <c r="L59" s="13">
        <v>0.48149999999999998</v>
      </c>
      <c r="M59" s="13">
        <v>1.2456</v>
      </c>
    </row>
    <row r="60" spans="1:13" x14ac:dyDescent="0.3">
      <c r="A60" s="4">
        <v>59</v>
      </c>
      <c r="B60" s="4" t="s">
        <v>95</v>
      </c>
      <c r="C60" s="5" t="s">
        <v>25</v>
      </c>
      <c r="D60" s="6" t="s">
        <v>18</v>
      </c>
      <c r="E60" s="4" t="str">
        <f t="shared" si="1"/>
        <v>Sesuai Mayoritas</v>
      </c>
      <c r="F60" s="7">
        <v>0.95799999999999996</v>
      </c>
      <c r="G60" s="7">
        <v>0</v>
      </c>
      <c r="H60" s="7">
        <v>4.2000000000000003E-2</v>
      </c>
      <c r="I60" s="8">
        <v>-5037.96</v>
      </c>
      <c r="J60" s="10">
        <v>0.876</v>
      </c>
      <c r="K60" s="9">
        <v>0.20930000000000001</v>
      </c>
      <c r="L60" s="10">
        <v>0.50609999999999999</v>
      </c>
      <c r="M60" s="10">
        <v>1.2719</v>
      </c>
    </row>
    <row r="61" spans="1:13" x14ac:dyDescent="0.3">
      <c r="A61" s="11">
        <v>60</v>
      </c>
      <c r="B61" s="11" t="s">
        <v>96</v>
      </c>
      <c r="C61" s="12" t="s">
        <v>25</v>
      </c>
      <c r="D61" s="6" t="s">
        <v>18</v>
      </c>
      <c r="E61" s="11" t="str">
        <f t="shared" si="1"/>
        <v>Sesuai Mayoritas</v>
      </c>
      <c r="F61" s="7">
        <v>0.97899999999999998</v>
      </c>
      <c r="G61" s="7">
        <v>0</v>
      </c>
      <c r="H61" s="7">
        <v>2.1000000000000001E-2</v>
      </c>
      <c r="I61" s="8">
        <v>-5668.36</v>
      </c>
      <c r="J61" s="13">
        <v>0.92769999999999997</v>
      </c>
      <c r="K61" s="9">
        <v>0.24640000000000001</v>
      </c>
      <c r="L61" s="13">
        <v>0.60199999999999998</v>
      </c>
      <c r="M61" s="13">
        <v>1.3436999999999999</v>
      </c>
    </row>
    <row r="62" spans="1:13" x14ac:dyDescent="0.3">
      <c r="A62" s="4">
        <v>61</v>
      </c>
      <c r="B62" s="4" t="s">
        <v>97</v>
      </c>
      <c r="C62" s="5" t="s">
        <v>25</v>
      </c>
      <c r="D62" s="6" t="s">
        <v>18</v>
      </c>
      <c r="E62" s="4" t="str">
        <f t="shared" si="1"/>
        <v>Sesuai Mayoritas</v>
      </c>
      <c r="F62" s="7">
        <v>0.68799999999999994</v>
      </c>
      <c r="G62" s="7">
        <v>0</v>
      </c>
      <c r="H62" s="7">
        <v>0.312</v>
      </c>
      <c r="I62" s="8">
        <v>-4728.03</v>
      </c>
      <c r="J62" s="10">
        <v>0.40639999999999998</v>
      </c>
      <c r="K62" s="9">
        <v>0.27610000000000001</v>
      </c>
      <c r="L62" s="10">
        <v>0.49590000000000001</v>
      </c>
      <c r="M62" s="10">
        <v>1.0593999999999999</v>
      </c>
    </row>
    <row r="63" spans="1:13" x14ac:dyDescent="0.3">
      <c r="A63" s="11">
        <v>62</v>
      </c>
      <c r="B63" s="11" t="s">
        <v>98</v>
      </c>
      <c r="C63" s="12" t="s">
        <v>25</v>
      </c>
      <c r="D63" s="6" t="s">
        <v>18</v>
      </c>
      <c r="E63" s="11" t="str">
        <f t="shared" si="1"/>
        <v>Sesuai Mayoritas</v>
      </c>
      <c r="F63" s="7">
        <v>0.68799999999999994</v>
      </c>
      <c r="G63" s="7">
        <v>0</v>
      </c>
      <c r="H63" s="7">
        <v>0.312</v>
      </c>
      <c r="I63" s="8">
        <v>-6050.79</v>
      </c>
      <c r="J63" s="13">
        <v>0.47860000000000003</v>
      </c>
      <c r="K63" s="9">
        <v>0.28249999999999997</v>
      </c>
      <c r="L63" s="13">
        <v>0.6613</v>
      </c>
      <c r="M63" s="13">
        <v>1.1876</v>
      </c>
    </row>
    <row r="64" spans="1:13" x14ac:dyDescent="0.3">
      <c r="A64" s="4">
        <v>63</v>
      </c>
      <c r="B64" s="4" t="s">
        <v>99</v>
      </c>
      <c r="C64" s="5" t="s">
        <v>25</v>
      </c>
      <c r="D64" s="6" t="s">
        <v>18</v>
      </c>
      <c r="E64" s="4" t="str">
        <f t="shared" si="1"/>
        <v>Sesuai Mayoritas</v>
      </c>
      <c r="F64" s="7">
        <v>0.77100000000000002</v>
      </c>
      <c r="G64" s="7">
        <v>0</v>
      </c>
      <c r="H64" s="7">
        <v>0.22900000000000001</v>
      </c>
      <c r="I64" s="8">
        <v>-4736.97</v>
      </c>
      <c r="J64" s="10">
        <v>0.54879999999999995</v>
      </c>
      <c r="K64" s="9">
        <v>0.14480000000000001</v>
      </c>
      <c r="L64" s="10">
        <v>0.43759999999999999</v>
      </c>
      <c r="M64" s="10">
        <v>1.1004</v>
      </c>
    </row>
    <row r="65" spans="1:13" x14ac:dyDescent="0.3">
      <c r="A65" s="11">
        <v>64</v>
      </c>
      <c r="B65" s="11" t="s">
        <v>100</v>
      </c>
      <c r="C65" s="12" t="s">
        <v>25</v>
      </c>
      <c r="D65" s="6" t="s">
        <v>18</v>
      </c>
      <c r="E65" s="11" t="str">
        <f t="shared" si="1"/>
        <v>Sesuai Mayoritas</v>
      </c>
      <c r="F65" s="7">
        <v>0.93799999999999994</v>
      </c>
      <c r="G65" s="7">
        <v>0</v>
      </c>
      <c r="H65" s="7">
        <v>6.2E-2</v>
      </c>
      <c r="I65" s="8">
        <v>-6859.29</v>
      </c>
      <c r="J65" s="13">
        <v>0.91349999999999998</v>
      </c>
      <c r="K65" s="9">
        <v>0.2752</v>
      </c>
      <c r="L65" s="13">
        <v>0.73939999999999995</v>
      </c>
      <c r="M65" s="13">
        <v>1.4162999999999999</v>
      </c>
    </row>
    <row r="66" spans="1:13" x14ac:dyDescent="0.3">
      <c r="A66" s="4">
        <v>65</v>
      </c>
      <c r="B66" s="4" t="s">
        <v>101</v>
      </c>
      <c r="C66" s="5" t="s">
        <v>25</v>
      </c>
      <c r="D66" s="6" t="s">
        <v>18</v>
      </c>
      <c r="E66" s="4" t="str">
        <f t="shared" ref="E66:E97" si="2">IF(OR(AND(C66="Cluster 1", D66="Tidak Patuh"), AND(C66="Cluster 2", D66="Patuh"), AND(C66="Cluster 3", D66="Patuh"), AND(C66="Cluster 4", D66="Kurang Patuh")), "Sesuai Mayoritas", "Meleset")</f>
        <v>Sesuai Mayoritas</v>
      </c>
      <c r="F66" s="7">
        <v>0.72899999999999998</v>
      </c>
      <c r="G66" s="7">
        <v>0</v>
      </c>
      <c r="H66" s="7">
        <v>0.27100000000000002</v>
      </c>
      <c r="I66" s="8">
        <v>-6638.09</v>
      </c>
      <c r="J66" s="10">
        <v>0.58520000000000005</v>
      </c>
      <c r="K66" s="9">
        <v>0.26640000000000003</v>
      </c>
      <c r="L66" s="10">
        <v>0.71530000000000005</v>
      </c>
      <c r="M66" s="10">
        <v>1.2644</v>
      </c>
    </row>
    <row r="67" spans="1:13" x14ac:dyDescent="0.3">
      <c r="A67" s="11">
        <v>66</v>
      </c>
      <c r="B67" s="11" t="s">
        <v>102</v>
      </c>
      <c r="C67" s="12" t="s">
        <v>25</v>
      </c>
      <c r="D67" s="6" t="s">
        <v>18</v>
      </c>
      <c r="E67" s="11" t="str">
        <f t="shared" si="2"/>
        <v>Sesuai Mayoritas</v>
      </c>
      <c r="F67" s="7">
        <v>0.83299999999999996</v>
      </c>
      <c r="G67" s="7">
        <v>0</v>
      </c>
      <c r="H67" s="7">
        <v>0.16700000000000001</v>
      </c>
      <c r="I67" s="8">
        <v>-3568.7</v>
      </c>
      <c r="J67" s="13">
        <v>0.65680000000000005</v>
      </c>
      <c r="K67" s="9">
        <v>0.24759999999999999</v>
      </c>
      <c r="L67" s="13">
        <v>0.25619999999999998</v>
      </c>
      <c r="M67" s="13">
        <v>1.0518000000000001</v>
      </c>
    </row>
    <row r="68" spans="1:13" x14ac:dyDescent="0.3">
      <c r="A68" s="4">
        <v>67</v>
      </c>
      <c r="B68" s="4" t="s">
        <v>103</v>
      </c>
      <c r="C68" s="5" t="s">
        <v>25</v>
      </c>
      <c r="D68" s="6" t="s">
        <v>18</v>
      </c>
      <c r="E68" s="4" t="str">
        <f t="shared" si="2"/>
        <v>Sesuai Mayoritas</v>
      </c>
      <c r="F68" s="7">
        <v>1</v>
      </c>
      <c r="G68" s="7">
        <v>0</v>
      </c>
      <c r="H68" s="7">
        <v>0</v>
      </c>
      <c r="I68" s="8">
        <v>-6889.23</v>
      </c>
      <c r="J68" s="10">
        <v>1.0145</v>
      </c>
      <c r="K68" s="9">
        <v>0.3548</v>
      </c>
      <c r="L68" s="10">
        <v>0.77510000000000001</v>
      </c>
      <c r="M68" s="10">
        <v>1.4726999999999999</v>
      </c>
    </row>
    <row r="69" spans="1:13" x14ac:dyDescent="0.3">
      <c r="A69" s="11">
        <v>68</v>
      </c>
      <c r="B69" s="11" t="s">
        <v>104</v>
      </c>
      <c r="C69" s="12" t="s">
        <v>25</v>
      </c>
      <c r="D69" s="6" t="s">
        <v>18</v>
      </c>
      <c r="E69" s="11" t="str">
        <f t="shared" si="2"/>
        <v>Sesuai Mayoritas</v>
      </c>
      <c r="F69" s="7">
        <v>0.77100000000000002</v>
      </c>
      <c r="G69" s="7">
        <v>0</v>
      </c>
      <c r="H69" s="7">
        <v>0.22900000000000001</v>
      </c>
      <c r="I69" s="8">
        <v>-3757.35</v>
      </c>
      <c r="J69" s="13">
        <v>0.54630000000000001</v>
      </c>
      <c r="K69" s="9">
        <v>0.25080000000000002</v>
      </c>
      <c r="L69" s="13">
        <v>0.30709999999999998</v>
      </c>
      <c r="M69" s="13">
        <v>1.0207999999999999</v>
      </c>
    </row>
    <row r="70" spans="1:13" x14ac:dyDescent="0.3">
      <c r="A70" s="4">
        <v>69</v>
      </c>
      <c r="B70" s="4" t="s">
        <v>105</v>
      </c>
      <c r="C70" s="5" t="s">
        <v>25</v>
      </c>
      <c r="D70" s="6" t="s">
        <v>18</v>
      </c>
      <c r="E70" s="4" t="str">
        <f t="shared" si="2"/>
        <v>Sesuai Mayoritas</v>
      </c>
      <c r="F70" s="7">
        <v>0.75</v>
      </c>
      <c r="G70" s="7">
        <v>0</v>
      </c>
      <c r="H70" s="7">
        <v>0.25</v>
      </c>
      <c r="I70" s="8">
        <v>-4539.5600000000004</v>
      </c>
      <c r="J70" s="10">
        <v>0.50960000000000005</v>
      </c>
      <c r="K70" s="9">
        <v>0.1903</v>
      </c>
      <c r="L70" s="10">
        <v>0.4229</v>
      </c>
      <c r="M70" s="10">
        <v>1.0714999999999999</v>
      </c>
    </row>
    <row r="71" spans="1:13" x14ac:dyDescent="0.3">
      <c r="A71" s="11">
        <v>70</v>
      </c>
      <c r="B71" s="11" t="s">
        <v>106</v>
      </c>
      <c r="C71" s="12" t="s">
        <v>25</v>
      </c>
      <c r="D71" s="6" t="s">
        <v>18</v>
      </c>
      <c r="E71" s="11" t="str">
        <f t="shared" si="2"/>
        <v>Sesuai Mayoritas</v>
      </c>
      <c r="F71" s="7">
        <v>0.91700000000000004</v>
      </c>
      <c r="G71" s="7">
        <v>0</v>
      </c>
      <c r="H71" s="7">
        <v>8.3000000000000004E-2</v>
      </c>
      <c r="I71" s="8">
        <v>-5454.11</v>
      </c>
      <c r="J71" s="13">
        <v>0.81559999999999999</v>
      </c>
      <c r="K71" s="9">
        <v>0.13469999999999999</v>
      </c>
      <c r="L71" s="13">
        <v>0.5383</v>
      </c>
      <c r="M71" s="13">
        <v>1.2690999999999999</v>
      </c>
    </row>
    <row r="72" spans="1:13" x14ac:dyDescent="0.3">
      <c r="A72" s="4">
        <v>71</v>
      </c>
      <c r="B72" s="4" t="s">
        <v>107</v>
      </c>
      <c r="C72" s="5" t="s">
        <v>25</v>
      </c>
      <c r="D72" s="6" t="s">
        <v>18</v>
      </c>
      <c r="E72" s="4" t="str">
        <f t="shared" si="2"/>
        <v>Sesuai Mayoritas</v>
      </c>
      <c r="F72" s="7">
        <v>0.93799999999999994</v>
      </c>
      <c r="G72" s="7">
        <v>0</v>
      </c>
      <c r="H72" s="7">
        <v>6.2E-2</v>
      </c>
      <c r="I72" s="8">
        <v>-4297.6400000000003</v>
      </c>
      <c r="J72" s="10">
        <v>0.83160000000000001</v>
      </c>
      <c r="K72" s="9">
        <v>0.22270000000000001</v>
      </c>
      <c r="L72" s="10">
        <v>0.39610000000000001</v>
      </c>
      <c r="M72" s="10">
        <v>1.1953</v>
      </c>
    </row>
    <row r="73" spans="1:13" x14ac:dyDescent="0.3">
      <c r="A73" s="11">
        <v>72</v>
      </c>
      <c r="B73" s="11" t="s">
        <v>108</v>
      </c>
      <c r="C73" s="12" t="s">
        <v>25</v>
      </c>
      <c r="D73" s="6" t="s">
        <v>18</v>
      </c>
      <c r="E73" s="11" t="str">
        <f t="shared" si="2"/>
        <v>Sesuai Mayoritas</v>
      </c>
      <c r="F73" s="7">
        <v>0.91700000000000004</v>
      </c>
      <c r="G73" s="7">
        <v>0</v>
      </c>
      <c r="H73" s="7">
        <v>8.3000000000000004E-2</v>
      </c>
      <c r="I73" s="8">
        <v>-4442.68</v>
      </c>
      <c r="J73" s="13">
        <v>0.79630000000000001</v>
      </c>
      <c r="K73" s="9">
        <v>0.18210000000000001</v>
      </c>
      <c r="L73" s="13">
        <v>0.40150000000000002</v>
      </c>
      <c r="M73" s="13">
        <v>1.1866000000000001</v>
      </c>
    </row>
    <row r="74" spans="1:13" x14ac:dyDescent="0.3">
      <c r="A74" s="4">
        <v>73</v>
      </c>
      <c r="B74" s="4" t="s">
        <v>109</v>
      </c>
      <c r="C74" s="5" t="s">
        <v>25</v>
      </c>
      <c r="D74" s="6" t="s">
        <v>18</v>
      </c>
      <c r="E74" s="4" t="str">
        <f t="shared" si="2"/>
        <v>Sesuai Mayoritas</v>
      </c>
      <c r="F74" s="7">
        <v>0.72899999999999998</v>
      </c>
      <c r="G74" s="7">
        <v>0</v>
      </c>
      <c r="H74" s="7">
        <v>0.27100000000000002</v>
      </c>
      <c r="I74" s="8">
        <v>-6439.71</v>
      </c>
      <c r="J74" s="10">
        <v>0.56899999999999995</v>
      </c>
      <c r="K74" s="9">
        <v>0.2477</v>
      </c>
      <c r="L74" s="10">
        <v>0.68840000000000001</v>
      </c>
      <c r="M74" s="10">
        <v>1.2436</v>
      </c>
    </row>
    <row r="75" spans="1:13" x14ac:dyDescent="0.3">
      <c r="A75" s="11">
        <v>74</v>
      </c>
      <c r="B75" s="11" t="s">
        <v>110</v>
      </c>
      <c r="C75" s="12" t="s">
        <v>25</v>
      </c>
      <c r="D75" s="6" t="s">
        <v>18</v>
      </c>
      <c r="E75" s="11" t="str">
        <f t="shared" si="2"/>
        <v>Sesuai Mayoritas</v>
      </c>
      <c r="F75" s="7">
        <v>0.66700000000000004</v>
      </c>
      <c r="G75" s="7">
        <v>0</v>
      </c>
      <c r="H75" s="7">
        <v>0.33300000000000002</v>
      </c>
      <c r="I75" s="8">
        <v>-6822.31</v>
      </c>
      <c r="J75" s="13">
        <v>0.52059999999999995</v>
      </c>
      <c r="K75" s="9">
        <v>0.36649999999999999</v>
      </c>
      <c r="L75" s="13">
        <v>0.77549999999999997</v>
      </c>
      <c r="M75" s="13">
        <v>1.2630999999999999</v>
      </c>
    </row>
    <row r="76" spans="1:13" x14ac:dyDescent="0.3">
      <c r="A76" s="4">
        <v>75</v>
      </c>
      <c r="B76" s="4" t="s">
        <v>111</v>
      </c>
      <c r="C76" s="5" t="s">
        <v>25</v>
      </c>
      <c r="D76" s="6" t="s">
        <v>18</v>
      </c>
      <c r="E76" s="4" t="str">
        <f t="shared" si="2"/>
        <v>Sesuai Mayoritas</v>
      </c>
      <c r="F76" s="7">
        <v>0.93799999999999994</v>
      </c>
      <c r="G76" s="7">
        <v>0</v>
      </c>
      <c r="H76" s="7">
        <v>6.2E-2</v>
      </c>
      <c r="I76" s="8">
        <v>-5624</v>
      </c>
      <c r="J76" s="10">
        <v>0.85619999999999996</v>
      </c>
      <c r="K76" s="9">
        <v>0.17469999999999999</v>
      </c>
      <c r="L76" s="10">
        <v>0.57110000000000005</v>
      </c>
      <c r="M76" s="10">
        <v>1.3019000000000001</v>
      </c>
    </row>
    <row r="77" spans="1:13" x14ac:dyDescent="0.3">
      <c r="A77" s="11">
        <v>76</v>
      </c>
      <c r="B77" s="11" t="s">
        <v>112</v>
      </c>
      <c r="C77" s="12" t="s">
        <v>25</v>
      </c>
      <c r="D77" s="6" t="s">
        <v>18</v>
      </c>
      <c r="E77" s="11" t="str">
        <f t="shared" si="2"/>
        <v>Sesuai Mayoritas</v>
      </c>
      <c r="F77" s="7">
        <v>0.70799999999999996</v>
      </c>
      <c r="G77" s="7">
        <v>0</v>
      </c>
      <c r="H77" s="7">
        <v>0.29199999999999998</v>
      </c>
      <c r="I77" s="8">
        <v>-4858.3500000000004</v>
      </c>
      <c r="J77" s="13">
        <v>0.44550000000000001</v>
      </c>
      <c r="K77" s="9">
        <v>0.23630000000000001</v>
      </c>
      <c r="L77" s="13">
        <v>0.49390000000000001</v>
      </c>
      <c r="M77" s="13">
        <v>1.0794999999999999</v>
      </c>
    </row>
    <row r="78" spans="1:13" x14ac:dyDescent="0.3">
      <c r="A78" s="4">
        <v>77</v>
      </c>
      <c r="B78" s="4" t="s">
        <v>113</v>
      </c>
      <c r="C78" s="5" t="s">
        <v>25</v>
      </c>
      <c r="D78" s="6" t="s">
        <v>18</v>
      </c>
      <c r="E78" s="4" t="str">
        <f t="shared" si="2"/>
        <v>Sesuai Mayoritas</v>
      </c>
      <c r="F78" s="7">
        <v>0.93799999999999994</v>
      </c>
      <c r="G78" s="7">
        <v>0</v>
      </c>
      <c r="H78" s="7">
        <v>6.2E-2</v>
      </c>
      <c r="I78" s="8">
        <v>-3647.38</v>
      </c>
      <c r="J78" s="10">
        <v>0.83479999999999999</v>
      </c>
      <c r="K78" s="9">
        <v>0.29070000000000001</v>
      </c>
      <c r="L78" s="10">
        <v>0.31540000000000001</v>
      </c>
      <c r="M78" s="10">
        <v>1.1505000000000001</v>
      </c>
    </row>
    <row r="79" spans="1:13" x14ac:dyDescent="0.3">
      <c r="A79" s="11">
        <v>78</v>
      </c>
      <c r="B79" s="11" t="s">
        <v>114</v>
      </c>
      <c r="C79" s="12" t="s">
        <v>25</v>
      </c>
      <c r="D79" s="6" t="s">
        <v>18</v>
      </c>
      <c r="E79" s="11" t="str">
        <f t="shared" si="2"/>
        <v>Sesuai Mayoritas</v>
      </c>
      <c r="F79" s="7">
        <v>0.77100000000000002</v>
      </c>
      <c r="G79" s="7">
        <v>0</v>
      </c>
      <c r="H79" s="7">
        <v>0.22900000000000001</v>
      </c>
      <c r="I79" s="8">
        <v>-6474.16</v>
      </c>
      <c r="J79" s="13">
        <v>0.63249999999999995</v>
      </c>
      <c r="K79" s="9">
        <v>0.2014</v>
      </c>
      <c r="L79" s="13">
        <v>0.67659999999999998</v>
      </c>
      <c r="M79" s="13">
        <v>1.2665</v>
      </c>
    </row>
    <row r="80" spans="1:13" x14ac:dyDescent="0.3">
      <c r="A80" s="4">
        <v>79</v>
      </c>
      <c r="B80" s="4" t="s">
        <v>115</v>
      </c>
      <c r="C80" s="5" t="s">
        <v>25</v>
      </c>
      <c r="D80" s="6" t="s">
        <v>18</v>
      </c>
      <c r="E80" s="4" t="str">
        <f t="shared" si="2"/>
        <v>Sesuai Mayoritas</v>
      </c>
      <c r="F80" s="7">
        <v>0.93799999999999994</v>
      </c>
      <c r="G80" s="7">
        <v>0</v>
      </c>
      <c r="H80" s="7">
        <v>6.2E-2</v>
      </c>
      <c r="I80" s="8">
        <v>-5558.98</v>
      </c>
      <c r="J80" s="10">
        <v>0.85399999999999998</v>
      </c>
      <c r="K80" s="9">
        <v>0.17269999999999999</v>
      </c>
      <c r="L80" s="10">
        <v>0.56230000000000002</v>
      </c>
      <c r="M80" s="10">
        <v>1.2962</v>
      </c>
    </row>
    <row r="81" spans="1:13" x14ac:dyDescent="0.3">
      <c r="A81" s="11">
        <v>80</v>
      </c>
      <c r="B81" s="11" t="s">
        <v>116</v>
      </c>
      <c r="C81" s="12" t="s">
        <v>25</v>
      </c>
      <c r="D81" s="6" t="s">
        <v>18</v>
      </c>
      <c r="E81" s="11" t="str">
        <f t="shared" si="2"/>
        <v>Sesuai Mayoritas</v>
      </c>
      <c r="F81" s="7">
        <v>0.875</v>
      </c>
      <c r="G81" s="7">
        <v>0</v>
      </c>
      <c r="H81" s="7">
        <v>0.125</v>
      </c>
      <c r="I81" s="8">
        <v>-4130.8100000000004</v>
      </c>
      <c r="J81" s="13">
        <v>0.72330000000000005</v>
      </c>
      <c r="K81" s="9">
        <v>0.1789</v>
      </c>
      <c r="L81" s="13">
        <v>0.34050000000000002</v>
      </c>
      <c r="M81" s="13">
        <v>1.1264000000000001</v>
      </c>
    </row>
    <row r="82" spans="1:13" x14ac:dyDescent="0.3">
      <c r="A82" s="4">
        <v>81</v>
      </c>
      <c r="B82" s="4" t="s">
        <v>117</v>
      </c>
      <c r="C82" s="5" t="s">
        <v>25</v>
      </c>
      <c r="D82" s="6" t="s">
        <v>18</v>
      </c>
      <c r="E82" s="4" t="str">
        <f t="shared" si="2"/>
        <v>Sesuai Mayoritas</v>
      </c>
      <c r="F82" s="7">
        <v>0.75</v>
      </c>
      <c r="G82" s="7">
        <v>0</v>
      </c>
      <c r="H82" s="7">
        <v>0.25</v>
      </c>
      <c r="I82" s="8">
        <v>-5716.89</v>
      </c>
      <c r="J82" s="10">
        <v>0.55169999999999997</v>
      </c>
      <c r="K82" s="9">
        <v>0.16470000000000001</v>
      </c>
      <c r="L82" s="10">
        <v>0.58040000000000003</v>
      </c>
      <c r="M82" s="10">
        <v>1.1798999999999999</v>
      </c>
    </row>
    <row r="83" spans="1:13" x14ac:dyDescent="0.3">
      <c r="A83" s="11">
        <v>82</v>
      </c>
      <c r="B83" s="11" t="s">
        <v>118</v>
      </c>
      <c r="C83" s="12" t="s">
        <v>25</v>
      </c>
      <c r="D83" s="6" t="s">
        <v>18</v>
      </c>
      <c r="E83" s="11" t="str">
        <f t="shared" si="2"/>
        <v>Sesuai Mayoritas</v>
      </c>
      <c r="F83" s="7">
        <v>0.66700000000000004</v>
      </c>
      <c r="G83" s="7">
        <v>0</v>
      </c>
      <c r="H83" s="7">
        <v>0.33300000000000002</v>
      </c>
      <c r="I83" s="8">
        <v>-6808.12</v>
      </c>
      <c r="J83" s="13">
        <v>0.51919999999999999</v>
      </c>
      <c r="K83" s="9">
        <v>0.36530000000000001</v>
      </c>
      <c r="L83" s="13">
        <v>0.77370000000000005</v>
      </c>
      <c r="M83" s="13">
        <v>1.2615000000000001</v>
      </c>
    </row>
    <row r="84" spans="1:13" x14ac:dyDescent="0.3">
      <c r="A84" s="4">
        <v>83</v>
      </c>
      <c r="B84" s="4" t="s">
        <v>119</v>
      </c>
      <c r="C84" s="5" t="s">
        <v>25</v>
      </c>
      <c r="D84" s="6" t="s">
        <v>18</v>
      </c>
      <c r="E84" s="4" t="str">
        <f t="shared" si="2"/>
        <v>Sesuai Mayoritas</v>
      </c>
      <c r="F84" s="7">
        <v>0.93799999999999994</v>
      </c>
      <c r="G84" s="7">
        <v>0</v>
      </c>
      <c r="H84" s="7">
        <v>6.2E-2</v>
      </c>
      <c r="I84" s="8">
        <v>-6526.44</v>
      </c>
      <c r="J84" s="10">
        <v>0.89510000000000001</v>
      </c>
      <c r="K84" s="9">
        <v>0.2399</v>
      </c>
      <c r="L84" s="10">
        <v>0.69379999999999997</v>
      </c>
      <c r="M84" s="10">
        <v>1.3842000000000001</v>
      </c>
    </row>
    <row r="85" spans="1:13" x14ac:dyDescent="0.3">
      <c r="A85" s="11">
        <v>84</v>
      </c>
      <c r="B85" s="11" t="s">
        <v>120</v>
      </c>
      <c r="C85" s="12" t="s">
        <v>25</v>
      </c>
      <c r="D85" s="6" t="s">
        <v>18</v>
      </c>
      <c r="E85" s="11" t="str">
        <f t="shared" si="2"/>
        <v>Sesuai Mayoritas</v>
      </c>
      <c r="F85" s="7">
        <v>0.93799999999999994</v>
      </c>
      <c r="G85" s="7">
        <v>0</v>
      </c>
      <c r="H85" s="7">
        <v>6.2E-2</v>
      </c>
      <c r="I85" s="8">
        <v>-4329.16</v>
      </c>
      <c r="J85" s="13">
        <v>0.83169999999999999</v>
      </c>
      <c r="K85" s="9">
        <v>0.2198</v>
      </c>
      <c r="L85" s="13">
        <v>0.40010000000000001</v>
      </c>
      <c r="M85" s="13">
        <v>1.1976</v>
      </c>
    </row>
    <row r="86" spans="1:13" x14ac:dyDescent="0.3">
      <c r="A86" s="4">
        <v>85</v>
      </c>
      <c r="B86" s="4" t="s">
        <v>121</v>
      </c>
      <c r="C86" s="5" t="s">
        <v>25</v>
      </c>
      <c r="D86" s="6" t="s">
        <v>18</v>
      </c>
      <c r="E86" s="4" t="str">
        <f t="shared" si="2"/>
        <v>Sesuai Mayoritas</v>
      </c>
      <c r="F86" s="7">
        <v>0.91700000000000004</v>
      </c>
      <c r="G86" s="7">
        <v>0</v>
      </c>
      <c r="H86" s="7">
        <v>8.3000000000000004E-2</v>
      </c>
      <c r="I86" s="8">
        <v>-4376.7</v>
      </c>
      <c r="J86" s="10">
        <v>0.79590000000000005</v>
      </c>
      <c r="K86" s="9">
        <v>0.18859999999999999</v>
      </c>
      <c r="L86" s="10">
        <v>0.39269999999999999</v>
      </c>
      <c r="M86" s="10">
        <v>1.1816</v>
      </c>
    </row>
    <row r="87" spans="1:13" x14ac:dyDescent="0.3">
      <c r="A87" s="11">
        <v>86</v>
      </c>
      <c r="B87" s="11" t="s">
        <v>122</v>
      </c>
      <c r="C87" s="12" t="s">
        <v>25</v>
      </c>
      <c r="D87" s="6" t="s">
        <v>18</v>
      </c>
      <c r="E87" s="11" t="str">
        <f t="shared" si="2"/>
        <v>Sesuai Mayoritas</v>
      </c>
      <c r="F87" s="7">
        <v>0.97899999999999998</v>
      </c>
      <c r="G87" s="7">
        <v>0</v>
      </c>
      <c r="H87" s="7">
        <v>2.1000000000000001E-2</v>
      </c>
      <c r="I87" s="8">
        <v>-4674.57</v>
      </c>
      <c r="J87" s="13">
        <v>0.90629999999999999</v>
      </c>
      <c r="K87" s="9">
        <v>0.25819999999999999</v>
      </c>
      <c r="L87" s="13">
        <v>0.47670000000000001</v>
      </c>
      <c r="M87" s="13">
        <v>1.264</v>
      </c>
    </row>
    <row r="88" spans="1:13" x14ac:dyDescent="0.3">
      <c r="A88" s="4">
        <v>87</v>
      </c>
      <c r="B88" s="4" t="s">
        <v>123</v>
      </c>
      <c r="C88" s="5" t="s">
        <v>25</v>
      </c>
      <c r="D88" s="6" t="s">
        <v>18</v>
      </c>
      <c r="E88" s="4" t="str">
        <f t="shared" si="2"/>
        <v>Sesuai Mayoritas</v>
      </c>
      <c r="F88" s="7">
        <v>0.83299999999999996</v>
      </c>
      <c r="G88" s="7">
        <v>0</v>
      </c>
      <c r="H88" s="7">
        <v>0.16700000000000001</v>
      </c>
      <c r="I88" s="8">
        <v>-4035.12</v>
      </c>
      <c r="J88" s="10">
        <v>0.65149999999999997</v>
      </c>
      <c r="K88" s="9">
        <v>0.18190000000000001</v>
      </c>
      <c r="L88" s="10">
        <v>0.32190000000000002</v>
      </c>
      <c r="M88" s="10">
        <v>1.0854999999999999</v>
      </c>
    </row>
    <row r="89" spans="1:13" x14ac:dyDescent="0.3">
      <c r="A89" s="11">
        <v>88</v>
      </c>
      <c r="B89" s="11" t="s">
        <v>124</v>
      </c>
      <c r="C89" s="12" t="s">
        <v>25</v>
      </c>
      <c r="D89" s="6" t="s">
        <v>18</v>
      </c>
      <c r="E89" s="11" t="str">
        <f t="shared" si="2"/>
        <v>Sesuai Mayoritas</v>
      </c>
      <c r="F89" s="7">
        <v>0.81200000000000006</v>
      </c>
      <c r="G89" s="7">
        <v>0</v>
      </c>
      <c r="H89" s="7">
        <v>0.188</v>
      </c>
      <c r="I89" s="8">
        <v>-5885.64</v>
      </c>
      <c r="J89" s="13">
        <v>0.66080000000000005</v>
      </c>
      <c r="K89" s="9">
        <v>9.2299999999999993E-2</v>
      </c>
      <c r="L89" s="13">
        <v>0.5847</v>
      </c>
      <c r="M89" s="13">
        <v>1.2314000000000001</v>
      </c>
    </row>
    <row r="90" spans="1:13" x14ac:dyDescent="0.3">
      <c r="A90" s="4">
        <v>89</v>
      </c>
      <c r="B90" s="4" t="s">
        <v>125</v>
      </c>
      <c r="C90" s="5" t="s">
        <v>25</v>
      </c>
      <c r="D90" s="6" t="s">
        <v>18</v>
      </c>
      <c r="E90" s="4" t="str">
        <f t="shared" si="2"/>
        <v>Sesuai Mayoritas</v>
      </c>
      <c r="F90" s="7">
        <v>0.81200000000000006</v>
      </c>
      <c r="G90" s="7">
        <v>0</v>
      </c>
      <c r="H90" s="7">
        <v>0.188</v>
      </c>
      <c r="I90" s="8">
        <v>-6673.72</v>
      </c>
      <c r="J90" s="10">
        <v>0.70889999999999997</v>
      </c>
      <c r="K90" s="9">
        <v>0.19639999999999999</v>
      </c>
      <c r="L90" s="10">
        <v>0.6956</v>
      </c>
      <c r="M90" s="10">
        <v>1.3099000000000001</v>
      </c>
    </row>
    <row r="91" spans="1:13" x14ac:dyDescent="0.3">
      <c r="A91" s="11">
        <v>90</v>
      </c>
      <c r="B91" s="11" t="s">
        <v>126</v>
      </c>
      <c r="C91" s="12" t="s">
        <v>25</v>
      </c>
      <c r="D91" s="6" t="s">
        <v>18</v>
      </c>
      <c r="E91" s="11" t="str">
        <f t="shared" si="2"/>
        <v>Sesuai Mayoritas</v>
      </c>
      <c r="F91" s="7">
        <v>0.66700000000000004</v>
      </c>
      <c r="G91" s="7">
        <v>0</v>
      </c>
      <c r="H91" s="7">
        <v>0.33300000000000002</v>
      </c>
      <c r="I91" s="8">
        <v>-6772.03</v>
      </c>
      <c r="J91" s="13">
        <v>0.51549999999999996</v>
      </c>
      <c r="K91" s="9">
        <v>0.3624</v>
      </c>
      <c r="L91" s="13">
        <v>0.76900000000000002</v>
      </c>
      <c r="M91" s="13">
        <v>1.2576000000000001</v>
      </c>
    </row>
    <row r="92" spans="1:13" x14ac:dyDescent="0.3">
      <c r="A92" s="4">
        <v>91</v>
      </c>
      <c r="B92" s="4" t="s">
        <v>127</v>
      </c>
      <c r="C92" s="5" t="s">
        <v>25</v>
      </c>
      <c r="D92" s="6" t="s">
        <v>18</v>
      </c>
      <c r="E92" s="4" t="str">
        <f t="shared" si="2"/>
        <v>Sesuai Mayoritas</v>
      </c>
      <c r="F92" s="7">
        <v>0.95799999999999996</v>
      </c>
      <c r="G92" s="7">
        <v>0</v>
      </c>
      <c r="H92" s="7">
        <v>4.2000000000000003E-2</v>
      </c>
      <c r="I92" s="8">
        <v>-5354.39</v>
      </c>
      <c r="J92" s="10">
        <v>0.88329999999999997</v>
      </c>
      <c r="K92" s="9">
        <v>0.20549999999999999</v>
      </c>
      <c r="L92" s="10">
        <v>0.54720000000000002</v>
      </c>
      <c r="M92" s="10">
        <v>1.2977000000000001</v>
      </c>
    </row>
    <row r="93" spans="1:13" x14ac:dyDescent="0.3">
      <c r="A93" s="11">
        <v>92</v>
      </c>
      <c r="B93" s="11" t="s">
        <v>128</v>
      </c>
      <c r="C93" s="12" t="s">
        <v>25</v>
      </c>
      <c r="D93" s="6" t="s">
        <v>18</v>
      </c>
      <c r="E93" s="11" t="str">
        <f t="shared" si="2"/>
        <v>Sesuai Mayoritas</v>
      </c>
      <c r="F93" s="7">
        <v>0.95799999999999996</v>
      </c>
      <c r="G93" s="7">
        <v>0</v>
      </c>
      <c r="H93" s="7">
        <v>4.2000000000000003E-2</v>
      </c>
      <c r="I93" s="8">
        <v>-4073.28</v>
      </c>
      <c r="J93" s="13">
        <v>0.86760000000000004</v>
      </c>
      <c r="K93" s="9">
        <v>0.27060000000000001</v>
      </c>
      <c r="L93" s="13">
        <v>0.38540000000000002</v>
      </c>
      <c r="M93" s="13">
        <v>1.1998</v>
      </c>
    </row>
    <row r="94" spans="1:13" x14ac:dyDescent="0.3">
      <c r="A94" s="4">
        <v>93</v>
      </c>
      <c r="B94" s="4" t="s">
        <v>129</v>
      </c>
      <c r="C94" s="5" t="s">
        <v>25</v>
      </c>
      <c r="D94" s="6" t="s">
        <v>18</v>
      </c>
      <c r="E94" s="4" t="str">
        <f t="shared" si="2"/>
        <v>Sesuai Mayoritas</v>
      </c>
      <c r="F94" s="7">
        <v>0.97899999999999998</v>
      </c>
      <c r="G94" s="7">
        <v>0</v>
      </c>
      <c r="H94" s="7">
        <v>2.1000000000000001E-2</v>
      </c>
      <c r="I94" s="8">
        <v>-4244.17</v>
      </c>
      <c r="J94" s="10">
        <v>0.90359999999999996</v>
      </c>
      <c r="K94" s="9">
        <v>0.28539999999999999</v>
      </c>
      <c r="L94" s="10">
        <v>0.42530000000000001</v>
      </c>
      <c r="M94" s="10">
        <v>1.2329000000000001</v>
      </c>
    </row>
    <row r="95" spans="1:13" x14ac:dyDescent="0.3">
      <c r="A95" s="11">
        <v>94</v>
      </c>
      <c r="B95" s="11" t="s">
        <v>130</v>
      </c>
      <c r="C95" s="12" t="s">
        <v>25</v>
      </c>
      <c r="D95" s="6" t="s">
        <v>18</v>
      </c>
      <c r="E95" s="11" t="str">
        <f t="shared" si="2"/>
        <v>Sesuai Mayoritas</v>
      </c>
      <c r="F95" s="7">
        <v>0.83299999999999996</v>
      </c>
      <c r="G95" s="7">
        <v>0</v>
      </c>
      <c r="H95" s="7">
        <v>0.16700000000000001</v>
      </c>
      <c r="I95" s="8">
        <v>-5834.85</v>
      </c>
      <c r="J95" s="13">
        <v>0.69199999999999995</v>
      </c>
      <c r="K95" s="9">
        <v>7.3099999999999998E-2</v>
      </c>
      <c r="L95" s="13">
        <v>0.57569999999999999</v>
      </c>
      <c r="M95" s="13">
        <v>1.2401</v>
      </c>
    </row>
    <row r="96" spans="1:13" x14ac:dyDescent="0.3">
      <c r="A96" s="4">
        <v>95</v>
      </c>
      <c r="B96" s="4" t="s">
        <v>131</v>
      </c>
      <c r="C96" s="5" t="s">
        <v>25</v>
      </c>
      <c r="D96" s="6" t="s">
        <v>18</v>
      </c>
      <c r="E96" s="4" t="str">
        <f t="shared" si="2"/>
        <v>Sesuai Mayoritas</v>
      </c>
      <c r="F96" s="7">
        <v>1</v>
      </c>
      <c r="G96" s="7">
        <v>0</v>
      </c>
      <c r="H96" s="7">
        <v>0</v>
      </c>
      <c r="I96" s="8">
        <v>-3838.67</v>
      </c>
      <c r="J96" s="10">
        <v>0.94079999999999997</v>
      </c>
      <c r="K96" s="9">
        <v>0.34760000000000002</v>
      </c>
      <c r="L96" s="10">
        <v>0.40329999999999999</v>
      </c>
      <c r="M96" s="10">
        <v>1.2279</v>
      </c>
    </row>
    <row r="97" spans="1:13" x14ac:dyDescent="0.3">
      <c r="A97" s="11">
        <v>96</v>
      </c>
      <c r="B97" s="11" t="s">
        <v>132</v>
      </c>
      <c r="C97" s="12" t="s">
        <v>25</v>
      </c>
      <c r="D97" s="6" t="s">
        <v>18</v>
      </c>
      <c r="E97" s="11" t="str">
        <f t="shared" si="2"/>
        <v>Sesuai Mayoritas</v>
      </c>
      <c r="F97" s="7">
        <v>0.66700000000000004</v>
      </c>
      <c r="G97" s="7">
        <v>0</v>
      </c>
      <c r="H97" s="7">
        <v>0.33300000000000002</v>
      </c>
      <c r="I97" s="8">
        <v>-6221.91</v>
      </c>
      <c r="J97" s="13">
        <v>0.46360000000000001</v>
      </c>
      <c r="K97" s="9">
        <v>0.32500000000000001</v>
      </c>
      <c r="L97" s="13">
        <v>0.69820000000000004</v>
      </c>
      <c r="M97" s="13">
        <v>1.1990000000000001</v>
      </c>
    </row>
    <row r="98" spans="1:13" x14ac:dyDescent="0.3">
      <c r="A98" s="4">
        <v>97</v>
      </c>
      <c r="B98" s="4" t="s">
        <v>133</v>
      </c>
      <c r="C98" s="5" t="s">
        <v>25</v>
      </c>
      <c r="D98" s="6" t="s">
        <v>18</v>
      </c>
      <c r="E98" s="4" t="str">
        <f t="shared" ref="E98:E129" si="3">IF(OR(AND(C98="Cluster 1", D98="Tidak Patuh"), AND(C98="Cluster 2", D98="Patuh"), AND(C98="Cluster 3", D98="Patuh"), AND(C98="Cluster 4", D98="Kurang Patuh")), "Sesuai Mayoritas", "Meleset")</f>
        <v>Sesuai Mayoritas</v>
      </c>
      <c r="F98" s="7">
        <v>0.68799999999999994</v>
      </c>
      <c r="G98" s="7">
        <v>0</v>
      </c>
      <c r="H98" s="7">
        <v>0.312</v>
      </c>
      <c r="I98" s="8">
        <v>-5913.88</v>
      </c>
      <c r="J98" s="10">
        <v>0.46820000000000001</v>
      </c>
      <c r="K98" s="9">
        <v>0.27600000000000002</v>
      </c>
      <c r="L98" s="10">
        <v>0.64359999999999995</v>
      </c>
      <c r="M98" s="10">
        <v>1.1736</v>
      </c>
    </row>
    <row r="99" spans="1:13" x14ac:dyDescent="0.3">
      <c r="A99" s="11">
        <v>98</v>
      </c>
      <c r="B99" s="11" t="s">
        <v>134</v>
      </c>
      <c r="C99" s="12" t="s">
        <v>25</v>
      </c>
      <c r="D99" s="6" t="s">
        <v>18</v>
      </c>
      <c r="E99" s="11" t="str">
        <f t="shared" si="3"/>
        <v>Sesuai Mayoritas</v>
      </c>
      <c r="F99" s="7">
        <v>0.97899999999999998</v>
      </c>
      <c r="G99" s="7">
        <v>0</v>
      </c>
      <c r="H99" s="7">
        <v>2.1000000000000001E-2</v>
      </c>
      <c r="I99" s="8">
        <v>-3950.43</v>
      </c>
      <c r="J99" s="13">
        <v>0.90410000000000001</v>
      </c>
      <c r="K99" s="9">
        <v>0.3095</v>
      </c>
      <c r="L99" s="13">
        <v>0.39179999999999998</v>
      </c>
      <c r="M99" s="13">
        <v>1.2129000000000001</v>
      </c>
    </row>
    <row r="100" spans="1:13" x14ac:dyDescent="0.3">
      <c r="A100" s="4">
        <v>99</v>
      </c>
      <c r="B100" s="4" t="s">
        <v>135</v>
      </c>
      <c r="C100" s="5" t="s">
        <v>25</v>
      </c>
      <c r="D100" s="6" t="s">
        <v>18</v>
      </c>
      <c r="E100" s="4" t="str">
        <f t="shared" si="3"/>
        <v>Sesuai Mayoritas</v>
      </c>
      <c r="F100" s="7">
        <v>0.95799999999999996</v>
      </c>
      <c r="G100" s="7">
        <v>0</v>
      </c>
      <c r="H100" s="7">
        <v>4.2000000000000003E-2</v>
      </c>
      <c r="I100" s="8">
        <v>-6594.57</v>
      </c>
      <c r="J100" s="10">
        <v>0.93220000000000003</v>
      </c>
      <c r="K100" s="9">
        <v>0.27279999999999999</v>
      </c>
      <c r="L100" s="10">
        <v>0.71260000000000001</v>
      </c>
      <c r="M100" s="10">
        <v>1.4081999999999999</v>
      </c>
    </row>
    <row r="101" spans="1:13" x14ac:dyDescent="0.3">
      <c r="A101" s="11">
        <v>100</v>
      </c>
      <c r="B101" s="11" t="s">
        <v>136</v>
      </c>
      <c r="C101" s="12" t="s">
        <v>25</v>
      </c>
      <c r="D101" s="6" t="s">
        <v>18</v>
      </c>
      <c r="E101" s="11" t="str">
        <f t="shared" si="3"/>
        <v>Sesuai Mayoritas</v>
      </c>
      <c r="F101" s="7">
        <v>0.83299999999999996</v>
      </c>
      <c r="G101" s="7">
        <v>0</v>
      </c>
      <c r="H101" s="7">
        <v>0.16700000000000001</v>
      </c>
      <c r="I101" s="8">
        <v>-3924.1</v>
      </c>
      <c r="J101" s="13">
        <v>0.6522</v>
      </c>
      <c r="K101" s="9">
        <v>0.19750000000000001</v>
      </c>
      <c r="L101" s="13">
        <v>0.30630000000000002</v>
      </c>
      <c r="M101" s="13">
        <v>1.0771999999999999</v>
      </c>
    </row>
    <row r="102" spans="1:13" x14ac:dyDescent="0.3">
      <c r="A102" s="4">
        <v>101</v>
      </c>
      <c r="B102" s="4" t="s">
        <v>137</v>
      </c>
      <c r="C102" s="5" t="s">
        <v>25</v>
      </c>
      <c r="D102" s="6" t="s">
        <v>18</v>
      </c>
      <c r="E102" s="4" t="str">
        <f t="shared" si="3"/>
        <v>Sesuai Mayoritas</v>
      </c>
      <c r="F102" s="7">
        <v>0.95799999999999996</v>
      </c>
      <c r="G102" s="7">
        <v>0</v>
      </c>
      <c r="H102" s="7">
        <v>4.2000000000000003E-2</v>
      </c>
      <c r="I102" s="8">
        <v>-5168.96</v>
      </c>
      <c r="J102" s="10">
        <v>0.87870000000000004</v>
      </c>
      <c r="K102" s="9">
        <v>0.20660000000000001</v>
      </c>
      <c r="L102" s="10">
        <v>0.52300000000000002</v>
      </c>
      <c r="M102" s="10">
        <v>1.2825</v>
      </c>
    </row>
    <row r="103" spans="1:13" x14ac:dyDescent="0.3">
      <c r="A103" s="11">
        <v>102</v>
      </c>
      <c r="B103" s="11" t="s">
        <v>138</v>
      </c>
      <c r="C103" s="12" t="s">
        <v>25</v>
      </c>
      <c r="D103" s="6" t="s">
        <v>18</v>
      </c>
      <c r="E103" s="11" t="str">
        <f t="shared" si="3"/>
        <v>Sesuai Mayoritas</v>
      </c>
      <c r="F103" s="7">
        <v>0.72899999999999998</v>
      </c>
      <c r="G103" s="7">
        <v>0</v>
      </c>
      <c r="H103" s="7">
        <v>0.27100000000000002</v>
      </c>
      <c r="I103" s="8">
        <v>-4199.8</v>
      </c>
      <c r="J103" s="13">
        <v>0.47099999999999997</v>
      </c>
      <c r="K103" s="9">
        <v>0.24809999999999999</v>
      </c>
      <c r="L103" s="13">
        <v>0.39500000000000002</v>
      </c>
      <c r="M103" s="13">
        <v>1.0319</v>
      </c>
    </row>
    <row r="104" spans="1:13" x14ac:dyDescent="0.3">
      <c r="A104" s="4">
        <v>103</v>
      </c>
      <c r="B104" s="4" t="s">
        <v>139</v>
      </c>
      <c r="C104" s="5" t="s">
        <v>25</v>
      </c>
      <c r="D104" s="6" t="s">
        <v>18</v>
      </c>
      <c r="E104" s="4" t="str">
        <f t="shared" si="3"/>
        <v>Sesuai Mayoritas</v>
      </c>
      <c r="F104" s="7">
        <v>0.95799999999999996</v>
      </c>
      <c r="G104" s="7">
        <v>0</v>
      </c>
      <c r="H104" s="7">
        <v>4.2000000000000003E-2</v>
      </c>
      <c r="I104" s="8">
        <v>-5312.96</v>
      </c>
      <c r="J104" s="10">
        <v>0.88219999999999998</v>
      </c>
      <c r="K104" s="9">
        <v>0.2054</v>
      </c>
      <c r="L104" s="10">
        <v>0.54179999999999995</v>
      </c>
      <c r="M104" s="10">
        <v>1.2943</v>
      </c>
    </row>
    <row r="105" spans="1:13" x14ac:dyDescent="0.3">
      <c r="A105" s="11">
        <v>104</v>
      </c>
      <c r="B105" s="11" t="s">
        <v>140</v>
      </c>
      <c r="C105" s="12" t="s">
        <v>25</v>
      </c>
      <c r="D105" s="6" t="s">
        <v>18</v>
      </c>
      <c r="E105" s="11" t="str">
        <f t="shared" si="3"/>
        <v>Sesuai Mayoritas</v>
      </c>
      <c r="F105" s="7">
        <v>0.72899999999999998</v>
      </c>
      <c r="G105" s="7">
        <v>0</v>
      </c>
      <c r="H105" s="7">
        <v>0.27100000000000002</v>
      </c>
      <c r="I105" s="8">
        <v>-6291.57</v>
      </c>
      <c r="J105" s="13">
        <v>0.55759999999999998</v>
      </c>
      <c r="K105" s="9">
        <v>0.2349</v>
      </c>
      <c r="L105" s="13">
        <v>0.66830000000000001</v>
      </c>
      <c r="M105" s="13">
        <v>1.2282</v>
      </c>
    </row>
    <row r="106" spans="1:13" x14ac:dyDescent="0.3">
      <c r="A106" s="4">
        <v>105</v>
      </c>
      <c r="B106" s="4" t="s">
        <v>141</v>
      </c>
      <c r="C106" s="5" t="s">
        <v>25</v>
      </c>
      <c r="D106" s="6" t="s">
        <v>18</v>
      </c>
      <c r="E106" s="4" t="str">
        <f t="shared" si="3"/>
        <v>Sesuai Mayoritas</v>
      </c>
      <c r="F106" s="7">
        <v>0.95799999999999996</v>
      </c>
      <c r="G106" s="7">
        <v>0</v>
      </c>
      <c r="H106" s="7">
        <v>4.2000000000000003E-2</v>
      </c>
      <c r="I106" s="8">
        <v>-4906.8900000000003</v>
      </c>
      <c r="J106" s="10">
        <v>0.87360000000000004</v>
      </c>
      <c r="K106" s="9">
        <v>0.21360000000000001</v>
      </c>
      <c r="L106" s="10">
        <v>0.48920000000000002</v>
      </c>
      <c r="M106" s="10">
        <v>1.2615000000000001</v>
      </c>
    </row>
    <row r="107" spans="1:13" x14ac:dyDescent="0.3">
      <c r="A107" s="11">
        <v>106</v>
      </c>
      <c r="B107" s="11" t="s">
        <v>142</v>
      </c>
      <c r="C107" s="12" t="s">
        <v>25</v>
      </c>
      <c r="D107" s="6" t="s">
        <v>18</v>
      </c>
      <c r="E107" s="11" t="str">
        <f t="shared" si="3"/>
        <v>Sesuai Mayoritas</v>
      </c>
      <c r="F107" s="7">
        <v>0.81200000000000006</v>
      </c>
      <c r="G107" s="7">
        <v>0</v>
      </c>
      <c r="H107" s="7">
        <v>0.188</v>
      </c>
      <c r="I107" s="8">
        <v>-6330.87</v>
      </c>
      <c r="J107" s="13">
        <v>0.68620000000000003</v>
      </c>
      <c r="K107" s="9">
        <v>0.14979999999999999</v>
      </c>
      <c r="L107" s="13">
        <v>0.64739999999999998</v>
      </c>
      <c r="M107" s="13">
        <v>1.2751999999999999</v>
      </c>
    </row>
    <row r="108" spans="1:13" x14ac:dyDescent="0.3">
      <c r="A108" s="4">
        <v>107</v>
      </c>
      <c r="B108" s="4" t="s">
        <v>143</v>
      </c>
      <c r="C108" s="5" t="s">
        <v>25</v>
      </c>
      <c r="D108" s="6" t="s">
        <v>18</v>
      </c>
      <c r="E108" s="4" t="str">
        <f t="shared" si="3"/>
        <v>Sesuai Mayoritas</v>
      </c>
      <c r="F108" s="7">
        <v>0.91700000000000004</v>
      </c>
      <c r="G108" s="7">
        <v>0</v>
      </c>
      <c r="H108" s="7">
        <v>8.3000000000000004E-2</v>
      </c>
      <c r="I108" s="8">
        <v>-6246.14</v>
      </c>
      <c r="J108" s="10">
        <v>0.84730000000000005</v>
      </c>
      <c r="K108" s="9">
        <v>0.1865</v>
      </c>
      <c r="L108" s="10">
        <v>0.6472</v>
      </c>
      <c r="M108" s="10">
        <v>1.3407</v>
      </c>
    </row>
    <row r="109" spans="1:13" x14ac:dyDescent="0.3">
      <c r="A109" s="11">
        <v>108</v>
      </c>
      <c r="B109" s="11" t="s">
        <v>144</v>
      </c>
      <c r="C109" s="12" t="s">
        <v>25</v>
      </c>
      <c r="D109" s="6" t="s">
        <v>18</v>
      </c>
      <c r="E109" s="11" t="str">
        <f t="shared" si="3"/>
        <v>Sesuai Mayoritas</v>
      </c>
      <c r="F109" s="7">
        <v>0.95799999999999996</v>
      </c>
      <c r="G109" s="7">
        <v>0</v>
      </c>
      <c r="H109" s="7">
        <v>4.2000000000000003E-2</v>
      </c>
      <c r="I109" s="8">
        <v>-5779.74</v>
      </c>
      <c r="J109" s="13">
        <v>0.89649999999999996</v>
      </c>
      <c r="K109" s="9">
        <v>0.21540000000000001</v>
      </c>
      <c r="L109" s="13">
        <v>0.60329999999999995</v>
      </c>
      <c r="M109" s="13">
        <v>1.3341000000000001</v>
      </c>
    </row>
    <row r="110" spans="1:13" x14ac:dyDescent="0.3">
      <c r="A110" s="4">
        <v>109</v>
      </c>
      <c r="B110" s="4" t="s">
        <v>145</v>
      </c>
      <c r="C110" s="5" t="s">
        <v>25</v>
      </c>
      <c r="D110" s="6" t="s">
        <v>18</v>
      </c>
      <c r="E110" s="4" t="str">
        <f t="shared" si="3"/>
        <v>Sesuai Mayoritas</v>
      </c>
      <c r="F110" s="7">
        <v>0.70799999999999996</v>
      </c>
      <c r="G110" s="7">
        <v>0</v>
      </c>
      <c r="H110" s="7">
        <v>0.29199999999999998</v>
      </c>
      <c r="I110" s="8">
        <v>-5210.82</v>
      </c>
      <c r="J110" s="10">
        <v>0.45879999999999999</v>
      </c>
      <c r="K110" s="9">
        <v>0.2276</v>
      </c>
      <c r="L110" s="10">
        <v>0.53849999999999998</v>
      </c>
      <c r="M110" s="10">
        <v>1.1123000000000001</v>
      </c>
    </row>
    <row r="111" spans="1:13" x14ac:dyDescent="0.3">
      <c r="A111" s="11">
        <v>110</v>
      </c>
      <c r="B111" s="11" t="s">
        <v>146</v>
      </c>
      <c r="C111" s="12" t="s">
        <v>25</v>
      </c>
      <c r="D111" s="6" t="s">
        <v>18</v>
      </c>
      <c r="E111" s="11" t="str">
        <f t="shared" si="3"/>
        <v>Sesuai Mayoritas</v>
      </c>
      <c r="F111" s="7">
        <v>0.66700000000000004</v>
      </c>
      <c r="G111" s="7">
        <v>0</v>
      </c>
      <c r="H111" s="7">
        <v>0.33300000000000002</v>
      </c>
      <c r="I111" s="8">
        <v>-6795.5</v>
      </c>
      <c r="J111" s="13">
        <v>0.51790000000000003</v>
      </c>
      <c r="K111" s="9">
        <v>0.36430000000000001</v>
      </c>
      <c r="L111" s="13">
        <v>0.77210000000000001</v>
      </c>
      <c r="M111" s="13">
        <v>1.2602</v>
      </c>
    </row>
    <row r="112" spans="1:13" x14ac:dyDescent="0.3">
      <c r="A112" s="4">
        <v>111</v>
      </c>
      <c r="B112" s="4" t="s">
        <v>147</v>
      </c>
      <c r="C112" s="5" t="s">
        <v>25</v>
      </c>
      <c r="D112" s="6" t="s">
        <v>18</v>
      </c>
      <c r="E112" s="4" t="str">
        <f t="shared" si="3"/>
        <v>Sesuai Mayoritas</v>
      </c>
      <c r="F112" s="7">
        <v>0.68799999999999994</v>
      </c>
      <c r="G112" s="7">
        <v>0</v>
      </c>
      <c r="H112" s="7">
        <v>0.312</v>
      </c>
      <c r="I112" s="8">
        <v>-3743.67</v>
      </c>
      <c r="J112" s="10">
        <v>0.40360000000000001</v>
      </c>
      <c r="K112" s="9">
        <v>0.34470000000000001</v>
      </c>
      <c r="L112" s="10">
        <v>0.38569999999999999</v>
      </c>
      <c r="M112" s="10">
        <v>0.97629999999999995</v>
      </c>
    </row>
    <row r="113" spans="1:13" x14ac:dyDescent="0.3">
      <c r="A113" s="11">
        <v>112</v>
      </c>
      <c r="B113" s="11" t="s">
        <v>148</v>
      </c>
      <c r="C113" s="12" t="s">
        <v>25</v>
      </c>
      <c r="D113" s="6" t="s">
        <v>18</v>
      </c>
      <c r="E113" s="11" t="str">
        <f t="shared" si="3"/>
        <v>Sesuai Mayoritas</v>
      </c>
      <c r="F113" s="7">
        <v>0.97899999999999998</v>
      </c>
      <c r="G113" s="7">
        <v>0</v>
      </c>
      <c r="H113" s="7">
        <v>2.1000000000000001E-2</v>
      </c>
      <c r="I113" s="8">
        <v>-6403.21</v>
      </c>
      <c r="J113" s="13">
        <v>0.95660000000000001</v>
      </c>
      <c r="K113" s="9">
        <v>0.28560000000000002</v>
      </c>
      <c r="L113" s="13">
        <v>0.69830000000000003</v>
      </c>
      <c r="M113" s="13">
        <v>1.4087000000000001</v>
      </c>
    </row>
    <row r="114" spans="1:13" x14ac:dyDescent="0.3">
      <c r="A114" s="4">
        <v>113</v>
      </c>
      <c r="B114" s="4" t="s">
        <v>149</v>
      </c>
      <c r="C114" s="5" t="s">
        <v>25</v>
      </c>
      <c r="D114" s="6" t="s">
        <v>18</v>
      </c>
      <c r="E114" s="4" t="str">
        <f t="shared" si="3"/>
        <v>Sesuai Mayoritas</v>
      </c>
      <c r="F114" s="7">
        <v>0.95799999999999996</v>
      </c>
      <c r="G114" s="7">
        <v>0</v>
      </c>
      <c r="H114" s="7">
        <v>4.2000000000000003E-2</v>
      </c>
      <c r="I114" s="8">
        <v>-5960.63</v>
      </c>
      <c r="J114" s="10">
        <v>0.90329999999999999</v>
      </c>
      <c r="K114" s="9">
        <v>0.2243</v>
      </c>
      <c r="L114" s="10">
        <v>0.62739999999999996</v>
      </c>
      <c r="M114" s="10">
        <v>1.35</v>
      </c>
    </row>
    <row r="115" spans="1:13" x14ac:dyDescent="0.3">
      <c r="A115" s="11">
        <v>114</v>
      </c>
      <c r="B115" s="11" t="s">
        <v>150</v>
      </c>
      <c r="C115" s="12" t="s">
        <v>25</v>
      </c>
      <c r="D115" s="6" t="s">
        <v>18</v>
      </c>
      <c r="E115" s="11" t="str">
        <f t="shared" si="3"/>
        <v>Sesuai Mayoritas</v>
      </c>
      <c r="F115" s="7">
        <v>0.72899999999999998</v>
      </c>
      <c r="G115" s="7">
        <v>0</v>
      </c>
      <c r="H115" s="7">
        <v>0.27100000000000002</v>
      </c>
      <c r="I115" s="8">
        <v>-6109.34</v>
      </c>
      <c r="J115" s="13">
        <v>0.54430000000000001</v>
      </c>
      <c r="K115" s="9">
        <v>0.221</v>
      </c>
      <c r="L115" s="13">
        <v>0.64380000000000004</v>
      </c>
      <c r="M115" s="13">
        <v>1.2095</v>
      </c>
    </row>
    <row r="116" spans="1:13" x14ac:dyDescent="0.3">
      <c r="A116" s="4">
        <v>115</v>
      </c>
      <c r="B116" s="4" t="s">
        <v>151</v>
      </c>
      <c r="C116" s="5" t="s">
        <v>27</v>
      </c>
      <c r="D116" s="6" t="s">
        <v>18</v>
      </c>
      <c r="E116" s="4" t="str">
        <f t="shared" si="3"/>
        <v>Sesuai Mayoritas</v>
      </c>
      <c r="F116" s="7">
        <v>0.95799999999999996</v>
      </c>
      <c r="G116" s="7">
        <v>0</v>
      </c>
      <c r="H116" s="7">
        <v>4.2000000000000003E-2</v>
      </c>
      <c r="I116" s="8">
        <v>-1208.6300000000001</v>
      </c>
      <c r="J116" s="10">
        <v>0.96319999999999995</v>
      </c>
      <c r="K116" s="10">
        <v>0.61560000000000004</v>
      </c>
      <c r="L116" s="9">
        <v>0.21809999999999999</v>
      </c>
      <c r="M116" s="10">
        <v>1.0626</v>
      </c>
    </row>
    <row r="117" spans="1:13" x14ac:dyDescent="0.3">
      <c r="A117" s="11">
        <v>116</v>
      </c>
      <c r="B117" s="11" t="s">
        <v>152</v>
      </c>
      <c r="C117" s="12" t="s">
        <v>27</v>
      </c>
      <c r="D117" s="6" t="s">
        <v>18</v>
      </c>
      <c r="E117" s="11" t="str">
        <f t="shared" si="3"/>
        <v>Sesuai Mayoritas</v>
      </c>
      <c r="F117" s="7">
        <v>0.81200000000000006</v>
      </c>
      <c r="G117" s="7">
        <v>0</v>
      </c>
      <c r="H117" s="7">
        <v>0.188</v>
      </c>
      <c r="I117" s="8">
        <v>-1882.26</v>
      </c>
      <c r="J117" s="13">
        <v>0.69510000000000005</v>
      </c>
      <c r="K117" s="13">
        <v>0.48759999999999998</v>
      </c>
      <c r="L117" s="9">
        <v>5.1999999999999998E-2</v>
      </c>
      <c r="M117" s="13">
        <v>0.94040000000000001</v>
      </c>
    </row>
    <row r="118" spans="1:13" x14ac:dyDescent="0.3">
      <c r="A118" s="4">
        <v>117</v>
      </c>
      <c r="B118" s="4" t="s">
        <v>153</v>
      </c>
      <c r="C118" s="5" t="s">
        <v>27</v>
      </c>
      <c r="D118" s="6" t="s">
        <v>18</v>
      </c>
      <c r="E118" s="4" t="str">
        <f t="shared" si="3"/>
        <v>Sesuai Mayoritas</v>
      </c>
      <c r="F118" s="7">
        <v>0.97899999999999998</v>
      </c>
      <c r="G118" s="7">
        <v>0</v>
      </c>
      <c r="H118" s="7">
        <v>2.1000000000000001E-2</v>
      </c>
      <c r="I118" s="8">
        <v>-839.57</v>
      </c>
      <c r="J118" s="10">
        <v>1.0187999999999999</v>
      </c>
      <c r="K118" s="10">
        <v>0.67689999999999995</v>
      </c>
      <c r="L118" s="9">
        <v>0.27260000000000001</v>
      </c>
      <c r="M118" s="10">
        <v>1.0790999999999999</v>
      </c>
    </row>
    <row r="119" spans="1:13" x14ac:dyDescent="0.3">
      <c r="A119" s="11">
        <v>118</v>
      </c>
      <c r="B119" s="11" t="s">
        <v>154</v>
      </c>
      <c r="C119" s="12" t="s">
        <v>27</v>
      </c>
      <c r="D119" s="6" t="s">
        <v>18</v>
      </c>
      <c r="E119" s="11" t="str">
        <f t="shared" si="3"/>
        <v>Sesuai Mayoritas</v>
      </c>
      <c r="F119" s="7">
        <v>1</v>
      </c>
      <c r="G119" s="7">
        <v>0</v>
      </c>
      <c r="H119" s="7">
        <v>0</v>
      </c>
      <c r="I119" s="8">
        <v>-1122.67</v>
      </c>
      <c r="J119" s="13">
        <v>1.0336000000000001</v>
      </c>
      <c r="K119" s="13">
        <v>0.6542</v>
      </c>
      <c r="L119" s="9">
        <v>0.29020000000000001</v>
      </c>
      <c r="M119" s="13">
        <v>1.1093</v>
      </c>
    </row>
    <row r="120" spans="1:13" x14ac:dyDescent="0.3">
      <c r="A120" s="4">
        <v>119</v>
      </c>
      <c r="B120" s="4" t="s">
        <v>155</v>
      </c>
      <c r="C120" s="5" t="s">
        <v>27</v>
      </c>
      <c r="D120" s="6" t="s">
        <v>18</v>
      </c>
      <c r="E120" s="4" t="str">
        <f t="shared" si="3"/>
        <v>Sesuai Mayoritas</v>
      </c>
      <c r="F120" s="7">
        <v>0.97899999999999998</v>
      </c>
      <c r="G120" s="7">
        <v>0</v>
      </c>
      <c r="H120" s="7">
        <v>2.1000000000000001E-2</v>
      </c>
      <c r="I120" s="8">
        <v>-2074.87</v>
      </c>
      <c r="J120" s="10">
        <v>0.95089999999999997</v>
      </c>
      <c r="K120" s="10">
        <v>0.51790000000000003</v>
      </c>
      <c r="L120" s="9">
        <v>0.24429999999999999</v>
      </c>
      <c r="M120" s="10">
        <v>1.1135999999999999</v>
      </c>
    </row>
    <row r="121" spans="1:13" x14ac:dyDescent="0.3">
      <c r="A121" s="11">
        <v>120</v>
      </c>
      <c r="B121" s="11" t="s">
        <v>156</v>
      </c>
      <c r="C121" s="12" t="s">
        <v>27</v>
      </c>
      <c r="D121" s="6" t="s">
        <v>18</v>
      </c>
      <c r="E121" s="11" t="str">
        <f t="shared" si="3"/>
        <v>Sesuai Mayoritas</v>
      </c>
      <c r="F121" s="7">
        <v>0.79200000000000004</v>
      </c>
      <c r="G121" s="7">
        <v>0</v>
      </c>
      <c r="H121" s="7">
        <v>0.20799999999999999</v>
      </c>
      <c r="I121" s="8">
        <v>-1250.45</v>
      </c>
      <c r="J121" s="13">
        <v>0.71120000000000005</v>
      </c>
      <c r="K121" s="13">
        <v>0.58040000000000003</v>
      </c>
      <c r="L121" s="9">
        <v>0.1106</v>
      </c>
      <c r="M121" s="13">
        <v>0.9012</v>
      </c>
    </row>
    <row r="122" spans="1:13" x14ac:dyDescent="0.3">
      <c r="A122" s="4">
        <v>121</v>
      </c>
      <c r="B122" s="4" t="s">
        <v>157</v>
      </c>
      <c r="C122" s="5" t="s">
        <v>27</v>
      </c>
      <c r="D122" s="6" t="s">
        <v>18</v>
      </c>
      <c r="E122" s="4" t="str">
        <f t="shared" si="3"/>
        <v>Sesuai Mayoritas</v>
      </c>
      <c r="F122" s="7">
        <v>0.93799999999999994</v>
      </c>
      <c r="G122" s="7">
        <v>0</v>
      </c>
      <c r="H122" s="7">
        <v>6.2E-2</v>
      </c>
      <c r="I122" s="8">
        <v>-2028.82</v>
      </c>
      <c r="J122" s="10">
        <v>0.88490000000000002</v>
      </c>
      <c r="K122" s="10">
        <v>0.4945</v>
      </c>
      <c r="L122" s="9">
        <v>0.1724</v>
      </c>
      <c r="M122" s="10">
        <v>1.0657000000000001</v>
      </c>
    </row>
    <row r="123" spans="1:13" x14ac:dyDescent="0.3">
      <c r="A123" s="11">
        <v>122</v>
      </c>
      <c r="B123" s="11" t="s">
        <v>158</v>
      </c>
      <c r="C123" s="12" t="s">
        <v>27</v>
      </c>
      <c r="D123" s="6" t="s">
        <v>18</v>
      </c>
      <c r="E123" s="11" t="str">
        <f t="shared" si="3"/>
        <v>Sesuai Mayoritas</v>
      </c>
      <c r="F123" s="7">
        <v>0.72899999999999998</v>
      </c>
      <c r="G123" s="7">
        <v>0</v>
      </c>
      <c r="H123" s="7">
        <v>0.27100000000000002</v>
      </c>
      <c r="I123" s="8">
        <v>-2697.86</v>
      </c>
      <c r="J123" s="13">
        <v>0.5151</v>
      </c>
      <c r="K123" s="13">
        <v>0.41660000000000003</v>
      </c>
      <c r="L123" s="9">
        <v>0.2341</v>
      </c>
      <c r="M123" s="13">
        <v>0.92400000000000004</v>
      </c>
    </row>
    <row r="124" spans="1:13" x14ac:dyDescent="0.3">
      <c r="A124" s="4">
        <v>123</v>
      </c>
      <c r="B124" s="4" t="s">
        <v>159</v>
      </c>
      <c r="C124" s="5" t="s">
        <v>27</v>
      </c>
      <c r="D124" s="6" t="s">
        <v>18</v>
      </c>
      <c r="E124" s="4" t="str">
        <f t="shared" si="3"/>
        <v>Sesuai Mayoritas</v>
      </c>
      <c r="F124" s="7">
        <v>0.66700000000000004</v>
      </c>
      <c r="G124" s="7">
        <v>0</v>
      </c>
      <c r="H124" s="7">
        <v>0.33300000000000002</v>
      </c>
      <c r="I124" s="8">
        <v>-1503.12</v>
      </c>
      <c r="J124" s="10">
        <v>0.52339999999999998</v>
      </c>
      <c r="K124" s="10">
        <v>0.61629999999999996</v>
      </c>
      <c r="L124" s="9">
        <v>0.30280000000000001</v>
      </c>
      <c r="M124" s="10">
        <v>0.83460000000000001</v>
      </c>
    </row>
    <row r="125" spans="1:13" x14ac:dyDescent="0.3">
      <c r="A125" s="11">
        <v>124</v>
      </c>
      <c r="B125" s="11" t="s">
        <v>160</v>
      </c>
      <c r="C125" s="12" t="s">
        <v>27</v>
      </c>
      <c r="D125" s="6" t="s">
        <v>18</v>
      </c>
      <c r="E125" s="11" t="str">
        <f t="shared" si="3"/>
        <v>Sesuai Mayoritas</v>
      </c>
      <c r="F125" s="7">
        <v>0.72899999999999998</v>
      </c>
      <c r="G125" s="7">
        <v>0</v>
      </c>
      <c r="H125" s="7">
        <v>0.27100000000000002</v>
      </c>
      <c r="I125" s="8">
        <v>-198.26</v>
      </c>
      <c r="J125" s="13">
        <v>0.73270000000000002</v>
      </c>
      <c r="K125" s="13">
        <v>0.74770000000000003</v>
      </c>
      <c r="L125" s="9">
        <v>0.29220000000000002</v>
      </c>
      <c r="M125" s="13">
        <v>0.83760000000000001</v>
      </c>
    </row>
    <row r="126" spans="1:13" x14ac:dyDescent="0.3">
      <c r="A126" s="4">
        <v>125</v>
      </c>
      <c r="B126" s="4" t="s">
        <v>161</v>
      </c>
      <c r="C126" s="5" t="s">
        <v>27</v>
      </c>
      <c r="D126" s="6" t="s">
        <v>18</v>
      </c>
      <c r="E126" s="4" t="str">
        <f t="shared" si="3"/>
        <v>Sesuai Mayoritas</v>
      </c>
      <c r="F126" s="7">
        <v>0.77100000000000002</v>
      </c>
      <c r="G126" s="7">
        <v>0</v>
      </c>
      <c r="H126" s="7">
        <v>0.22900000000000001</v>
      </c>
      <c r="I126" s="8">
        <v>-2935.68</v>
      </c>
      <c r="J126" s="10">
        <v>0.5706</v>
      </c>
      <c r="K126" s="10">
        <v>0.35709999999999997</v>
      </c>
      <c r="L126" s="9">
        <v>0.2056</v>
      </c>
      <c r="M126" s="10">
        <v>0.96430000000000005</v>
      </c>
    </row>
    <row r="127" spans="1:13" x14ac:dyDescent="0.3">
      <c r="A127" s="11">
        <v>126</v>
      </c>
      <c r="B127" s="11" t="s">
        <v>162</v>
      </c>
      <c r="C127" s="12" t="s">
        <v>27</v>
      </c>
      <c r="D127" s="6" t="s">
        <v>18</v>
      </c>
      <c r="E127" s="11" t="str">
        <f t="shared" si="3"/>
        <v>Sesuai Mayoritas</v>
      </c>
      <c r="F127" s="7">
        <v>0.95799999999999996</v>
      </c>
      <c r="G127" s="7">
        <v>0</v>
      </c>
      <c r="H127" s="7">
        <v>4.2000000000000003E-2</v>
      </c>
      <c r="I127" s="8">
        <v>-651.52</v>
      </c>
      <c r="J127" s="13">
        <v>0.99990000000000001</v>
      </c>
      <c r="K127" s="13">
        <v>0.69020000000000004</v>
      </c>
      <c r="L127" s="9">
        <v>0.25669999999999998</v>
      </c>
      <c r="M127" s="13">
        <v>1.052</v>
      </c>
    </row>
    <row r="128" spans="1:13" x14ac:dyDescent="0.3">
      <c r="A128" s="4">
        <v>127</v>
      </c>
      <c r="B128" s="4" t="s">
        <v>163</v>
      </c>
      <c r="C128" s="5" t="s">
        <v>27</v>
      </c>
      <c r="D128" s="6" t="s">
        <v>18</v>
      </c>
      <c r="E128" s="4" t="str">
        <f t="shared" si="3"/>
        <v>Sesuai Mayoritas</v>
      </c>
      <c r="F128" s="7">
        <v>0.91700000000000004</v>
      </c>
      <c r="G128" s="7">
        <v>0</v>
      </c>
      <c r="H128" s="7">
        <v>8.3000000000000004E-2</v>
      </c>
      <c r="I128" s="8">
        <v>-1718.64</v>
      </c>
      <c r="J128" s="10">
        <v>0.86770000000000003</v>
      </c>
      <c r="K128" s="10">
        <v>0.52559999999999996</v>
      </c>
      <c r="L128" s="9">
        <v>0.1321</v>
      </c>
      <c r="M128" s="10">
        <v>1.032</v>
      </c>
    </row>
    <row r="129" spans="1:13" x14ac:dyDescent="0.3">
      <c r="A129" s="11">
        <v>128</v>
      </c>
      <c r="B129" s="11" t="s">
        <v>164</v>
      </c>
      <c r="C129" s="12" t="s">
        <v>27</v>
      </c>
      <c r="D129" s="6" t="s">
        <v>18</v>
      </c>
      <c r="E129" s="11" t="str">
        <f t="shared" si="3"/>
        <v>Sesuai Mayoritas</v>
      </c>
      <c r="F129" s="7">
        <v>0.93799999999999994</v>
      </c>
      <c r="G129" s="7">
        <v>0</v>
      </c>
      <c r="H129" s="7">
        <v>6.2E-2</v>
      </c>
      <c r="I129" s="8">
        <v>-1810.33</v>
      </c>
      <c r="J129" s="13">
        <v>0.89600000000000002</v>
      </c>
      <c r="K129" s="13">
        <v>0.52359999999999995</v>
      </c>
      <c r="L129" s="9">
        <v>0.16819999999999999</v>
      </c>
      <c r="M129" s="13">
        <v>1.0575000000000001</v>
      </c>
    </row>
    <row r="130" spans="1:13" x14ac:dyDescent="0.3">
      <c r="A130" s="4">
        <v>129</v>
      </c>
      <c r="B130" s="4" t="s">
        <v>165</v>
      </c>
      <c r="C130" s="5" t="s">
        <v>27</v>
      </c>
      <c r="D130" s="6" t="s">
        <v>18</v>
      </c>
      <c r="E130" s="4" t="str">
        <f t="shared" ref="E130:E161" si="4">IF(OR(AND(C130="Cluster 1", D130="Tidak Patuh"), AND(C130="Cluster 2", D130="Patuh"), AND(C130="Cluster 3", D130="Patuh"), AND(C130="Cluster 4", D130="Kurang Patuh")), "Sesuai Mayoritas", "Meleset")</f>
        <v>Sesuai Mayoritas</v>
      </c>
      <c r="F130" s="7">
        <v>0.72899999999999998</v>
      </c>
      <c r="G130" s="7">
        <v>0</v>
      </c>
      <c r="H130" s="7">
        <v>0.27100000000000002</v>
      </c>
      <c r="I130" s="8">
        <v>-2521.83</v>
      </c>
      <c r="J130" s="10">
        <v>0.52569999999999995</v>
      </c>
      <c r="K130" s="10">
        <v>0.43880000000000002</v>
      </c>
      <c r="L130" s="9">
        <v>0.22090000000000001</v>
      </c>
      <c r="M130" s="10">
        <v>0.91379999999999995</v>
      </c>
    </row>
    <row r="131" spans="1:13" x14ac:dyDescent="0.3">
      <c r="A131" s="11">
        <v>130</v>
      </c>
      <c r="B131" s="11" t="s">
        <v>166</v>
      </c>
      <c r="C131" s="12" t="s">
        <v>27</v>
      </c>
      <c r="D131" s="6" t="s">
        <v>18</v>
      </c>
      <c r="E131" s="11" t="str">
        <f t="shared" si="4"/>
        <v>Sesuai Mayoritas</v>
      </c>
      <c r="F131" s="7">
        <v>0.95799999999999996</v>
      </c>
      <c r="G131" s="7">
        <v>0</v>
      </c>
      <c r="H131" s="7">
        <v>4.2000000000000003E-2</v>
      </c>
      <c r="I131" s="8">
        <v>-1474.07</v>
      </c>
      <c r="J131" s="13">
        <v>0.9476</v>
      </c>
      <c r="K131" s="13">
        <v>0.58050000000000002</v>
      </c>
      <c r="L131" s="9">
        <v>0.2079</v>
      </c>
      <c r="M131" s="13">
        <v>1.0696000000000001</v>
      </c>
    </row>
    <row r="132" spans="1:13" x14ac:dyDescent="0.3">
      <c r="A132" s="4">
        <v>131</v>
      </c>
      <c r="B132" s="4" t="s">
        <v>167</v>
      </c>
      <c r="C132" s="5" t="s">
        <v>27</v>
      </c>
      <c r="D132" s="6" t="s">
        <v>18</v>
      </c>
      <c r="E132" s="4" t="str">
        <f t="shared" si="4"/>
        <v>Sesuai Mayoritas</v>
      </c>
      <c r="F132" s="7">
        <v>0.91700000000000004</v>
      </c>
      <c r="G132" s="7">
        <v>0</v>
      </c>
      <c r="H132" s="7">
        <v>8.3000000000000004E-2</v>
      </c>
      <c r="I132" s="8">
        <v>-3149.39</v>
      </c>
      <c r="J132" s="10">
        <v>0.8085</v>
      </c>
      <c r="K132" s="10">
        <v>0.33429999999999999</v>
      </c>
      <c r="L132" s="9">
        <v>0.2369</v>
      </c>
      <c r="M132" s="10">
        <v>1.0992999999999999</v>
      </c>
    </row>
    <row r="133" spans="1:13" x14ac:dyDescent="0.3">
      <c r="A133" s="11">
        <v>132</v>
      </c>
      <c r="B133" s="11" t="s">
        <v>168</v>
      </c>
      <c r="C133" s="12" t="s">
        <v>27</v>
      </c>
      <c r="D133" s="6" t="s">
        <v>18</v>
      </c>
      <c r="E133" s="11" t="str">
        <f t="shared" si="4"/>
        <v>Sesuai Mayoritas</v>
      </c>
      <c r="F133" s="7">
        <v>0.77100000000000002</v>
      </c>
      <c r="G133" s="7">
        <v>0</v>
      </c>
      <c r="H133" s="7">
        <v>0.22900000000000001</v>
      </c>
      <c r="I133" s="8">
        <v>-2767.3</v>
      </c>
      <c r="J133" s="13">
        <v>0.57830000000000004</v>
      </c>
      <c r="K133" s="13">
        <v>0.37959999999999999</v>
      </c>
      <c r="L133" s="9">
        <v>0.18690000000000001</v>
      </c>
      <c r="M133" s="13">
        <v>0.95399999999999996</v>
      </c>
    </row>
    <row r="134" spans="1:13" x14ac:dyDescent="0.3">
      <c r="A134" s="4">
        <v>133</v>
      </c>
      <c r="B134" s="4" t="s">
        <v>169</v>
      </c>
      <c r="C134" s="5" t="s">
        <v>27</v>
      </c>
      <c r="D134" s="6" t="s">
        <v>18</v>
      </c>
      <c r="E134" s="4" t="str">
        <f t="shared" si="4"/>
        <v>Sesuai Mayoritas</v>
      </c>
      <c r="F134" s="7">
        <v>0.85399999999999998</v>
      </c>
      <c r="G134" s="7">
        <v>0</v>
      </c>
      <c r="H134" s="7">
        <v>0.14599999999999999</v>
      </c>
      <c r="I134" s="8">
        <v>-1844.68</v>
      </c>
      <c r="J134" s="10">
        <v>0.76190000000000002</v>
      </c>
      <c r="K134" s="10">
        <v>0.49130000000000001</v>
      </c>
      <c r="L134" s="9">
        <v>2.76E-2</v>
      </c>
      <c r="M134" s="10">
        <v>0.97509999999999997</v>
      </c>
    </row>
    <row r="135" spans="1:13" x14ac:dyDescent="0.3">
      <c r="A135" s="11">
        <v>134</v>
      </c>
      <c r="B135" s="11" t="s">
        <v>170</v>
      </c>
      <c r="C135" s="12" t="s">
        <v>27</v>
      </c>
      <c r="D135" s="6" t="s">
        <v>18</v>
      </c>
      <c r="E135" s="11" t="str">
        <f t="shared" si="4"/>
        <v>Sesuai Mayoritas</v>
      </c>
      <c r="F135" s="7">
        <v>0.875</v>
      </c>
      <c r="G135" s="7">
        <v>0</v>
      </c>
      <c r="H135" s="7">
        <v>0.125</v>
      </c>
      <c r="I135" s="8">
        <v>-3284.69</v>
      </c>
      <c r="J135" s="13">
        <v>0.73419999999999996</v>
      </c>
      <c r="K135" s="13">
        <v>0.29389999999999999</v>
      </c>
      <c r="L135" s="9">
        <v>0.224</v>
      </c>
      <c r="M135" s="13">
        <v>1.0683</v>
      </c>
    </row>
    <row r="136" spans="1:13" x14ac:dyDescent="0.3">
      <c r="A136" s="4">
        <v>135</v>
      </c>
      <c r="B136" s="4" t="s">
        <v>171</v>
      </c>
      <c r="C136" s="5" t="s">
        <v>27</v>
      </c>
      <c r="D136" s="6" t="s">
        <v>18</v>
      </c>
      <c r="E136" s="4" t="str">
        <f t="shared" si="4"/>
        <v>Sesuai Mayoritas</v>
      </c>
      <c r="F136" s="7">
        <v>0.66700000000000004</v>
      </c>
      <c r="G136" s="7">
        <v>0</v>
      </c>
      <c r="H136" s="7">
        <v>0.33300000000000002</v>
      </c>
      <c r="I136" s="8">
        <v>-1352.72</v>
      </c>
      <c r="J136" s="10">
        <v>0.53890000000000005</v>
      </c>
      <c r="K136" s="10">
        <v>0.63490000000000002</v>
      </c>
      <c r="L136" s="9">
        <v>0.30599999999999999</v>
      </c>
      <c r="M136" s="10">
        <v>0.82920000000000005</v>
      </c>
    </row>
    <row r="137" spans="1:13" x14ac:dyDescent="0.3">
      <c r="A137" s="11">
        <v>136</v>
      </c>
      <c r="B137" s="11" t="s">
        <v>172</v>
      </c>
      <c r="C137" s="12" t="s">
        <v>27</v>
      </c>
      <c r="D137" s="6" t="s">
        <v>18</v>
      </c>
      <c r="E137" s="11" t="str">
        <f t="shared" si="4"/>
        <v>Sesuai Mayoritas</v>
      </c>
      <c r="F137" s="7">
        <v>0.97899999999999998</v>
      </c>
      <c r="G137" s="7">
        <v>0</v>
      </c>
      <c r="H137" s="7">
        <v>2.1000000000000001E-2</v>
      </c>
      <c r="I137" s="8">
        <v>-1679.21</v>
      </c>
      <c r="J137" s="13">
        <v>0.9698</v>
      </c>
      <c r="K137" s="13">
        <v>0.56789999999999996</v>
      </c>
      <c r="L137" s="9">
        <v>0.24030000000000001</v>
      </c>
      <c r="M137" s="13">
        <v>1.0996999999999999</v>
      </c>
    </row>
    <row r="138" spans="1:13" x14ac:dyDescent="0.3">
      <c r="A138" s="4">
        <v>137</v>
      </c>
      <c r="B138" s="4" t="s">
        <v>173</v>
      </c>
      <c r="C138" s="5" t="s">
        <v>27</v>
      </c>
      <c r="D138" s="6" t="s">
        <v>18</v>
      </c>
      <c r="E138" s="4" t="str">
        <f t="shared" si="4"/>
        <v>Sesuai Mayoritas</v>
      </c>
      <c r="F138" s="7">
        <v>0.77100000000000002</v>
      </c>
      <c r="G138" s="7">
        <v>0</v>
      </c>
      <c r="H138" s="7">
        <v>0.22900000000000001</v>
      </c>
      <c r="I138" s="8">
        <v>-1761.62</v>
      </c>
      <c r="J138" s="10">
        <v>0.6411</v>
      </c>
      <c r="K138" s="10">
        <v>0.51619999999999999</v>
      </c>
      <c r="L138" s="9">
        <v>0.1206</v>
      </c>
      <c r="M138" s="10">
        <v>0.90349999999999997</v>
      </c>
    </row>
    <row r="139" spans="1:13" x14ac:dyDescent="0.3">
      <c r="A139" s="11">
        <v>138</v>
      </c>
      <c r="B139" s="11" t="s">
        <v>174</v>
      </c>
      <c r="C139" s="12" t="s">
        <v>27</v>
      </c>
      <c r="D139" s="6" t="s">
        <v>18</v>
      </c>
      <c r="E139" s="11" t="str">
        <f t="shared" si="4"/>
        <v>Sesuai Mayoritas</v>
      </c>
      <c r="F139" s="7">
        <v>0.89600000000000002</v>
      </c>
      <c r="G139" s="7">
        <v>0</v>
      </c>
      <c r="H139" s="7">
        <v>0.104</v>
      </c>
      <c r="I139" s="8">
        <v>-1625</v>
      </c>
      <c r="J139" s="13">
        <v>0.84040000000000004</v>
      </c>
      <c r="K139" s="13">
        <v>0.53059999999999996</v>
      </c>
      <c r="L139" s="9">
        <v>9.7799999999999998E-2</v>
      </c>
      <c r="M139" s="13">
        <v>1.0074000000000001</v>
      </c>
    </row>
    <row r="140" spans="1:13" x14ac:dyDescent="0.3">
      <c r="A140" s="4">
        <v>139</v>
      </c>
      <c r="B140" s="4" t="s">
        <v>175</v>
      </c>
      <c r="C140" s="5" t="s">
        <v>27</v>
      </c>
      <c r="D140" s="6" t="s">
        <v>18</v>
      </c>
      <c r="E140" s="4" t="str">
        <f t="shared" si="4"/>
        <v>Sesuai Mayoritas</v>
      </c>
      <c r="F140" s="7">
        <v>0.70799999999999996</v>
      </c>
      <c r="G140" s="7">
        <v>0</v>
      </c>
      <c r="H140" s="7">
        <v>0.29199999999999998</v>
      </c>
      <c r="I140" s="8">
        <v>-177.18</v>
      </c>
      <c r="J140" s="10">
        <v>0.71240000000000003</v>
      </c>
      <c r="K140" s="10">
        <v>0.76049999999999995</v>
      </c>
      <c r="L140" s="9">
        <v>0.31919999999999998</v>
      </c>
      <c r="M140" s="10">
        <v>0.82520000000000004</v>
      </c>
    </row>
    <row r="141" spans="1:13" x14ac:dyDescent="0.3">
      <c r="A141" s="11">
        <v>140</v>
      </c>
      <c r="B141" s="11" t="s">
        <v>176</v>
      </c>
      <c r="C141" s="12" t="s">
        <v>27</v>
      </c>
      <c r="D141" s="6" t="s">
        <v>18</v>
      </c>
      <c r="E141" s="11" t="str">
        <f t="shared" si="4"/>
        <v>Sesuai Mayoritas</v>
      </c>
      <c r="F141" s="7">
        <v>0.95799999999999996</v>
      </c>
      <c r="G141" s="7">
        <v>0</v>
      </c>
      <c r="H141" s="7">
        <v>4.2000000000000003E-2</v>
      </c>
      <c r="I141" s="8">
        <v>-2124.85</v>
      </c>
      <c r="J141" s="13">
        <v>0.91449999999999998</v>
      </c>
      <c r="K141" s="13">
        <v>0.49569999999999997</v>
      </c>
      <c r="L141" s="9">
        <v>0.21060000000000001</v>
      </c>
      <c r="M141" s="13">
        <v>1.0922000000000001</v>
      </c>
    </row>
    <row r="142" spans="1:13" x14ac:dyDescent="0.3">
      <c r="A142" s="4">
        <v>141</v>
      </c>
      <c r="B142" s="4" t="s">
        <v>177</v>
      </c>
      <c r="C142" s="5" t="s">
        <v>27</v>
      </c>
      <c r="D142" s="6" t="s">
        <v>18</v>
      </c>
      <c r="E142" s="4" t="str">
        <f t="shared" si="4"/>
        <v>Sesuai Mayoritas</v>
      </c>
      <c r="F142" s="7">
        <v>0.77100000000000002</v>
      </c>
      <c r="G142" s="7">
        <v>0</v>
      </c>
      <c r="H142" s="7">
        <v>0.22900000000000001</v>
      </c>
      <c r="I142" s="8">
        <v>-3071.41</v>
      </c>
      <c r="J142" s="10">
        <v>0.56499999999999995</v>
      </c>
      <c r="K142" s="10">
        <v>0.33910000000000001</v>
      </c>
      <c r="L142" s="9">
        <v>0.22140000000000001</v>
      </c>
      <c r="M142" s="10">
        <v>0.97289999999999999</v>
      </c>
    </row>
    <row r="143" spans="1:13" x14ac:dyDescent="0.3">
      <c r="A143" s="11">
        <v>142</v>
      </c>
      <c r="B143" s="11" t="s">
        <v>178</v>
      </c>
      <c r="C143" s="12" t="s">
        <v>27</v>
      </c>
      <c r="D143" s="6" t="s">
        <v>18</v>
      </c>
      <c r="E143" s="11" t="str">
        <f t="shared" si="4"/>
        <v>Sesuai Mayoritas</v>
      </c>
      <c r="F143" s="7">
        <v>1</v>
      </c>
      <c r="G143" s="7">
        <v>0</v>
      </c>
      <c r="H143" s="7">
        <v>0</v>
      </c>
      <c r="I143" s="8">
        <v>-2325.67</v>
      </c>
      <c r="J143" s="13">
        <v>0.97519999999999996</v>
      </c>
      <c r="K143" s="13">
        <v>0.50570000000000004</v>
      </c>
      <c r="L143" s="9">
        <v>0.28760000000000002</v>
      </c>
      <c r="M143" s="13">
        <v>1.1476</v>
      </c>
    </row>
    <row r="144" spans="1:13" x14ac:dyDescent="0.3">
      <c r="A144" s="4">
        <v>143</v>
      </c>
      <c r="B144" s="4" t="s">
        <v>179</v>
      </c>
      <c r="C144" s="5" t="s">
        <v>27</v>
      </c>
      <c r="D144" s="6" t="s">
        <v>18</v>
      </c>
      <c r="E144" s="4" t="str">
        <f t="shared" si="4"/>
        <v>Sesuai Mayoritas</v>
      </c>
      <c r="F144" s="7">
        <v>0.66700000000000004</v>
      </c>
      <c r="G144" s="7">
        <v>0</v>
      </c>
      <c r="H144" s="7">
        <v>0.33300000000000002</v>
      </c>
      <c r="I144" s="8">
        <v>-2204.84</v>
      </c>
      <c r="J144" s="10">
        <v>0.4572</v>
      </c>
      <c r="K144" s="10">
        <v>0.53190000000000004</v>
      </c>
      <c r="L144" s="9">
        <v>0.30730000000000002</v>
      </c>
      <c r="M144" s="10">
        <v>0.86639999999999995</v>
      </c>
    </row>
    <row r="145" spans="1:13" x14ac:dyDescent="0.3">
      <c r="A145" s="11">
        <v>144</v>
      </c>
      <c r="B145" s="11" t="s">
        <v>180</v>
      </c>
      <c r="C145" s="12" t="s">
        <v>27</v>
      </c>
      <c r="D145" s="6" t="s">
        <v>18</v>
      </c>
      <c r="E145" s="11" t="str">
        <f t="shared" si="4"/>
        <v>Sesuai Mayoritas</v>
      </c>
      <c r="F145" s="7">
        <v>0.85399999999999998</v>
      </c>
      <c r="G145" s="7">
        <v>0</v>
      </c>
      <c r="H145" s="7">
        <v>0.14599999999999999</v>
      </c>
      <c r="I145" s="8">
        <v>-1167.29</v>
      </c>
      <c r="J145" s="13">
        <v>0.80779999999999996</v>
      </c>
      <c r="K145" s="13">
        <v>0.5867</v>
      </c>
      <c r="L145" s="9">
        <v>8.6499999999999994E-2</v>
      </c>
      <c r="M145" s="13">
        <v>0.95289999999999997</v>
      </c>
    </row>
    <row r="146" spans="1:13" x14ac:dyDescent="0.3">
      <c r="A146" s="4">
        <v>145</v>
      </c>
      <c r="B146" s="4" t="s">
        <v>181</v>
      </c>
      <c r="C146" s="5" t="s">
        <v>27</v>
      </c>
      <c r="D146" s="6" t="s">
        <v>18</v>
      </c>
      <c r="E146" s="4" t="str">
        <f t="shared" si="4"/>
        <v>Sesuai Mayoritas</v>
      </c>
      <c r="F146" s="7">
        <v>0.75</v>
      </c>
      <c r="G146" s="7">
        <v>0</v>
      </c>
      <c r="H146" s="7">
        <v>0.25</v>
      </c>
      <c r="I146" s="8">
        <v>-1975.06</v>
      </c>
      <c r="J146" s="10">
        <v>0.59460000000000002</v>
      </c>
      <c r="K146" s="10">
        <v>0.497</v>
      </c>
      <c r="L146" s="9">
        <v>0.15970000000000001</v>
      </c>
      <c r="M146" s="10">
        <v>0.89849999999999997</v>
      </c>
    </row>
    <row r="147" spans="1:13" x14ac:dyDescent="0.3">
      <c r="A147" s="11">
        <v>146</v>
      </c>
      <c r="B147" s="11" t="s">
        <v>182</v>
      </c>
      <c r="C147" s="12" t="s">
        <v>27</v>
      </c>
      <c r="D147" s="6" t="s">
        <v>18</v>
      </c>
      <c r="E147" s="11" t="str">
        <f t="shared" si="4"/>
        <v>Sesuai Mayoritas</v>
      </c>
      <c r="F147" s="7">
        <v>0.97899999999999998</v>
      </c>
      <c r="G147" s="7">
        <v>0</v>
      </c>
      <c r="H147" s="7">
        <v>2.1000000000000001E-2</v>
      </c>
      <c r="I147" s="8">
        <v>-3241.17</v>
      </c>
      <c r="J147" s="13">
        <v>0.91310000000000002</v>
      </c>
      <c r="K147" s="13">
        <v>0.38009999999999999</v>
      </c>
      <c r="L147" s="9">
        <v>0.31869999999999998</v>
      </c>
      <c r="M147" s="13">
        <v>1.1693</v>
      </c>
    </row>
    <row r="148" spans="1:13" x14ac:dyDescent="0.3">
      <c r="A148" s="4">
        <v>147</v>
      </c>
      <c r="B148" s="4" t="s">
        <v>183</v>
      </c>
      <c r="C148" s="5" t="s">
        <v>27</v>
      </c>
      <c r="D148" s="6" t="s">
        <v>18</v>
      </c>
      <c r="E148" s="4" t="str">
        <f t="shared" si="4"/>
        <v>Sesuai Mayoritas</v>
      </c>
      <c r="F148" s="7">
        <v>0.95799999999999996</v>
      </c>
      <c r="G148" s="7">
        <v>0</v>
      </c>
      <c r="H148" s="7">
        <v>4.2000000000000003E-2</v>
      </c>
      <c r="I148" s="8">
        <v>-3191.74</v>
      </c>
      <c r="J148" s="10">
        <v>0.87849999999999995</v>
      </c>
      <c r="K148" s="10">
        <v>0.36409999999999998</v>
      </c>
      <c r="L148" s="9">
        <v>0.28760000000000002</v>
      </c>
      <c r="M148" s="10">
        <v>1.1442000000000001</v>
      </c>
    </row>
    <row r="149" spans="1:13" x14ac:dyDescent="0.3">
      <c r="A149" s="11">
        <v>148</v>
      </c>
      <c r="B149" s="11" t="s">
        <v>184</v>
      </c>
      <c r="C149" s="12" t="s">
        <v>27</v>
      </c>
      <c r="D149" s="6" t="s">
        <v>18</v>
      </c>
      <c r="E149" s="11" t="str">
        <f t="shared" si="4"/>
        <v>Sesuai Mayoritas</v>
      </c>
      <c r="F149" s="7">
        <v>0.81200000000000006</v>
      </c>
      <c r="G149" s="7">
        <v>0</v>
      </c>
      <c r="H149" s="7">
        <v>0.188</v>
      </c>
      <c r="I149" s="8">
        <v>-3369.36</v>
      </c>
      <c r="J149" s="13">
        <v>0.62560000000000004</v>
      </c>
      <c r="K149" s="13">
        <v>0.27950000000000003</v>
      </c>
      <c r="L149" s="9">
        <v>0.2329</v>
      </c>
      <c r="M149" s="13">
        <v>1.0221</v>
      </c>
    </row>
    <row r="150" spans="1:13" x14ac:dyDescent="0.3">
      <c r="A150" s="4">
        <v>149</v>
      </c>
      <c r="B150" s="4" t="s">
        <v>185</v>
      </c>
      <c r="C150" s="5" t="s">
        <v>27</v>
      </c>
      <c r="D150" s="6" t="s">
        <v>18</v>
      </c>
      <c r="E150" s="4" t="str">
        <f t="shared" si="4"/>
        <v>Sesuai Mayoritas</v>
      </c>
      <c r="F150" s="7">
        <v>0.93799999999999994</v>
      </c>
      <c r="G150" s="7">
        <v>0</v>
      </c>
      <c r="H150" s="7">
        <v>6.2E-2</v>
      </c>
      <c r="I150" s="8">
        <v>-2972.98</v>
      </c>
      <c r="J150" s="10">
        <v>0.84860000000000002</v>
      </c>
      <c r="K150" s="10">
        <v>0.37219999999999998</v>
      </c>
      <c r="L150" s="9">
        <v>0.24030000000000001</v>
      </c>
      <c r="M150" s="10">
        <v>1.1103000000000001</v>
      </c>
    </row>
    <row r="151" spans="1:13" x14ac:dyDescent="0.3">
      <c r="A151" s="11">
        <v>150</v>
      </c>
      <c r="B151" s="11" t="s">
        <v>186</v>
      </c>
      <c r="C151" s="12" t="s">
        <v>27</v>
      </c>
      <c r="D151" s="6" t="s">
        <v>18</v>
      </c>
      <c r="E151" s="11" t="str">
        <f t="shared" si="4"/>
        <v>Sesuai Mayoritas</v>
      </c>
      <c r="F151" s="7">
        <v>0.875</v>
      </c>
      <c r="G151" s="7">
        <v>0</v>
      </c>
      <c r="H151" s="7">
        <v>0.125</v>
      </c>
      <c r="I151" s="8">
        <v>-497.07</v>
      </c>
      <c r="J151" s="13">
        <v>0.89029999999999998</v>
      </c>
      <c r="K151" s="13">
        <v>0.6835</v>
      </c>
      <c r="L151" s="9">
        <v>0.18740000000000001</v>
      </c>
      <c r="M151" s="13">
        <v>0.96040000000000003</v>
      </c>
    </row>
    <row r="152" spans="1:13" x14ac:dyDescent="0.3">
      <c r="A152" s="4">
        <v>151</v>
      </c>
      <c r="B152" s="4" t="s">
        <v>187</v>
      </c>
      <c r="C152" s="5" t="s">
        <v>27</v>
      </c>
      <c r="D152" s="6" t="s">
        <v>18</v>
      </c>
      <c r="E152" s="4" t="str">
        <f t="shared" si="4"/>
        <v>Sesuai Mayoritas</v>
      </c>
      <c r="F152" s="7">
        <v>0.68799999999999994</v>
      </c>
      <c r="G152" s="7">
        <v>0</v>
      </c>
      <c r="H152" s="7">
        <v>0.312</v>
      </c>
      <c r="I152" s="8">
        <v>-2826.42</v>
      </c>
      <c r="J152" s="10">
        <v>0.44209999999999999</v>
      </c>
      <c r="K152" s="10">
        <v>0.4395</v>
      </c>
      <c r="L152" s="9">
        <v>0.30480000000000002</v>
      </c>
      <c r="M152" s="10">
        <v>0.91110000000000002</v>
      </c>
    </row>
    <row r="153" spans="1:13" x14ac:dyDescent="0.3">
      <c r="A153" s="11">
        <v>152</v>
      </c>
      <c r="B153" s="11" t="s">
        <v>188</v>
      </c>
      <c r="C153" s="12" t="s">
        <v>27</v>
      </c>
      <c r="D153" s="6" t="s">
        <v>18</v>
      </c>
      <c r="E153" s="11" t="str">
        <f t="shared" si="4"/>
        <v>Sesuai Mayoritas</v>
      </c>
      <c r="F153" s="7">
        <v>0.97899999999999998</v>
      </c>
      <c r="G153" s="7">
        <v>0</v>
      </c>
      <c r="H153" s="7">
        <v>2.1000000000000001E-2</v>
      </c>
      <c r="I153" s="8">
        <v>-982.13</v>
      </c>
      <c r="J153" s="13">
        <v>1.0097</v>
      </c>
      <c r="K153" s="13">
        <v>0.65820000000000001</v>
      </c>
      <c r="L153" s="9">
        <v>0.26369999999999999</v>
      </c>
      <c r="M153" s="13">
        <v>1.0817000000000001</v>
      </c>
    </row>
    <row r="154" spans="1:13" x14ac:dyDescent="0.3">
      <c r="A154" s="4">
        <v>153</v>
      </c>
      <c r="B154" s="4" t="s">
        <v>189</v>
      </c>
      <c r="C154" s="5" t="s">
        <v>27</v>
      </c>
      <c r="D154" s="6" t="s">
        <v>18</v>
      </c>
      <c r="E154" s="4" t="str">
        <f t="shared" si="4"/>
        <v>Sesuai Mayoritas</v>
      </c>
      <c r="F154" s="7">
        <v>0.77100000000000002</v>
      </c>
      <c r="G154" s="7">
        <v>0</v>
      </c>
      <c r="H154" s="7">
        <v>0.22900000000000001</v>
      </c>
      <c r="I154" s="8">
        <v>-1058.1099999999999</v>
      </c>
      <c r="J154" s="10">
        <v>0.69889999999999997</v>
      </c>
      <c r="K154" s="10">
        <v>0.61319999999999997</v>
      </c>
      <c r="L154" s="9">
        <v>0.15559999999999999</v>
      </c>
      <c r="M154" s="10">
        <v>0.88009999999999999</v>
      </c>
    </row>
    <row r="155" spans="1:13" x14ac:dyDescent="0.3">
      <c r="A155" s="11">
        <v>154</v>
      </c>
      <c r="B155" s="11" t="s">
        <v>190</v>
      </c>
      <c r="C155" s="12" t="s">
        <v>27</v>
      </c>
      <c r="D155" s="6" t="s">
        <v>18</v>
      </c>
      <c r="E155" s="11" t="str">
        <f t="shared" si="4"/>
        <v>Sesuai Mayoritas</v>
      </c>
      <c r="F155" s="7">
        <v>0.79200000000000004</v>
      </c>
      <c r="G155" s="7">
        <v>0</v>
      </c>
      <c r="H155" s="7">
        <v>0.20799999999999999</v>
      </c>
      <c r="I155" s="8">
        <v>-378.63</v>
      </c>
      <c r="J155" s="13">
        <v>0.78900000000000003</v>
      </c>
      <c r="K155" s="13">
        <v>0.70230000000000004</v>
      </c>
      <c r="L155" s="9">
        <v>0.21190000000000001</v>
      </c>
      <c r="M155" s="13">
        <v>0.88380000000000003</v>
      </c>
    </row>
    <row r="156" spans="1:13" x14ac:dyDescent="0.3">
      <c r="A156" s="4">
        <v>155</v>
      </c>
      <c r="B156" s="4" t="s">
        <v>191</v>
      </c>
      <c r="C156" s="5" t="s">
        <v>27</v>
      </c>
      <c r="D156" s="6" t="s">
        <v>18</v>
      </c>
      <c r="E156" s="4" t="str">
        <f t="shared" si="4"/>
        <v>Sesuai Mayoritas</v>
      </c>
      <c r="F156" s="7">
        <v>0.97899999999999998</v>
      </c>
      <c r="G156" s="7">
        <v>0</v>
      </c>
      <c r="H156" s="7">
        <v>2.1000000000000001E-2</v>
      </c>
      <c r="I156" s="8">
        <v>-2441.62</v>
      </c>
      <c r="J156" s="10">
        <v>0.93610000000000004</v>
      </c>
      <c r="K156" s="10">
        <v>0.47270000000000001</v>
      </c>
      <c r="L156" s="9">
        <v>0.25890000000000002</v>
      </c>
      <c r="M156" s="10">
        <v>1.1288</v>
      </c>
    </row>
    <row r="157" spans="1:13" x14ac:dyDescent="0.3">
      <c r="A157" s="11">
        <v>156</v>
      </c>
      <c r="B157" s="11" t="s">
        <v>192</v>
      </c>
      <c r="C157" s="12" t="s">
        <v>27</v>
      </c>
      <c r="D157" s="6" t="s">
        <v>18</v>
      </c>
      <c r="E157" s="11" t="str">
        <f t="shared" si="4"/>
        <v>Sesuai Mayoritas</v>
      </c>
      <c r="F157" s="7">
        <v>0.72899999999999998</v>
      </c>
      <c r="G157" s="7">
        <v>0.22900000000000001</v>
      </c>
      <c r="H157" s="7">
        <v>4.2000000000000003E-2</v>
      </c>
      <c r="I157" s="8">
        <v>-87.22</v>
      </c>
      <c r="J157" s="13">
        <v>0.99380000000000002</v>
      </c>
      <c r="K157" s="13">
        <v>0.81569999999999998</v>
      </c>
      <c r="L157" s="9">
        <v>0.4133</v>
      </c>
      <c r="M157" s="13">
        <v>0.71789999999999998</v>
      </c>
    </row>
    <row r="158" spans="1:13" x14ac:dyDescent="0.3">
      <c r="A158" s="4">
        <v>157</v>
      </c>
      <c r="B158" s="4" t="s">
        <v>193</v>
      </c>
      <c r="C158" s="5" t="s">
        <v>27</v>
      </c>
      <c r="D158" s="6" t="s">
        <v>18</v>
      </c>
      <c r="E158" s="4" t="str">
        <f t="shared" si="4"/>
        <v>Sesuai Mayoritas</v>
      </c>
      <c r="F158" s="7">
        <v>0.93799999999999994</v>
      </c>
      <c r="G158" s="7">
        <v>0</v>
      </c>
      <c r="H158" s="7">
        <v>6.2E-2</v>
      </c>
      <c r="I158" s="8">
        <v>-1291.8900000000001</v>
      </c>
      <c r="J158" s="10">
        <v>0.92569999999999997</v>
      </c>
      <c r="K158" s="10">
        <v>0.59330000000000005</v>
      </c>
      <c r="L158" s="9">
        <v>0.18029999999999999</v>
      </c>
      <c r="M158" s="10">
        <v>1.0414000000000001</v>
      </c>
    </row>
    <row r="159" spans="1:13" x14ac:dyDescent="0.3">
      <c r="A159" s="11">
        <v>158</v>
      </c>
      <c r="B159" s="11" t="s">
        <v>194</v>
      </c>
      <c r="C159" s="12" t="s">
        <v>27</v>
      </c>
      <c r="D159" s="6" t="s">
        <v>18</v>
      </c>
      <c r="E159" s="11" t="str">
        <f t="shared" si="4"/>
        <v>Sesuai Mayoritas</v>
      </c>
      <c r="F159" s="7">
        <v>0.93799999999999994</v>
      </c>
      <c r="G159" s="7">
        <v>0</v>
      </c>
      <c r="H159" s="7">
        <v>6.2E-2</v>
      </c>
      <c r="I159" s="8">
        <v>-274.67</v>
      </c>
      <c r="J159" s="13">
        <v>0.99719999999999998</v>
      </c>
      <c r="K159" s="13">
        <v>0.73199999999999998</v>
      </c>
      <c r="L159" s="9">
        <v>0.2681</v>
      </c>
      <c r="M159" s="13">
        <v>1.0245</v>
      </c>
    </row>
    <row r="160" spans="1:13" x14ac:dyDescent="0.3">
      <c r="A160" s="4">
        <v>159</v>
      </c>
      <c r="B160" s="4" t="s">
        <v>195</v>
      </c>
      <c r="C160" s="5" t="s">
        <v>27</v>
      </c>
      <c r="D160" s="6" t="s">
        <v>18</v>
      </c>
      <c r="E160" s="4" t="str">
        <f t="shared" si="4"/>
        <v>Sesuai Mayoritas</v>
      </c>
      <c r="F160" s="7">
        <v>0.68799999999999994</v>
      </c>
      <c r="G160" s="7">
        <v>0</v>
      </c>
      <c r="H160" s="7">
        <v>0.312</v>
      </c>
      <c r="I160" s="8">
        <v>-2626.73</v>
      </c>
      <c r="J160" s="10">
        <v>0.45490000000000003</v>
      </c>
      <c r="K160" s="10">
        <v>0.46239999999999998</v>
      </c>
      <c r="L160" s="9">
        <v>0.2918</v>
      </c>
      <c r="M160" s="10">
        <v>0.89880000000000004</v>
      </c>
    </row>
    <row r="161" spans="1:13" x14ac:dyDescent="0.3">
      <c r="A161" s="11">
        <v>160</v>
      </c>
      <c r="B161" s="11" t="s">
        <v>196</v>
      </c>
      <c r="C161" s="12" t="s">
        <v>27</v>
      </c>
      <c r="D161" s="6" t="s">
        <v>18</v>
      </c>
      <c r="E161" s="11" t="str">
        <f t="shared" si="4"/>
        <v>Sesuai Mayoritas</v>
      </c>
      <c r="F161" s="7">
        <v>0.72899999999999998</v>
      </c>
      <c r="G161" s="7">
        <v>0</v>
      </c>
      <c r="H161" s="7">
        <v>0.27100000000000002</v>
      </c>
      <c r="I161" s="8">
        <v>-341.66</v>
      </c>
      <c r="J161" s="13">
        <v>0.71730000000000005</v>
      </c>
      <c r="K161" s="13">
        <v>0.72819999999999996</v>
      </c>
      <c r="L161" s="9">
        <v>0.27729999999999999</v>
      </c>
      <c r="M161" s="13">
        <v>0.83879999999999999</v>
      </c>
    </row>
    <row r="162" spans="1:13" x14ac:dyDescent="0.3">
      <c r="A162" s="4">
        <v>161</v>
      </c>
      <c r="B162" s="4" t="s">
        <v>197</v>
      </c>
      <c r="C162" s="5" t="s">
        <v>27</v>
      </c>
      <c r="D162" s="6" t="s">
        <v>18</v>
      </c>
      <c r="E162" s="4" t="str">
        <f t="shared" ref="E162:E193" si="5">IF(OR(AND(C162="Cluster 1", D162="Tidak Patuh"), AND(C162="Cluster 2", D162="Patuh"), AND(C162="Cluster 3", D162="Patuh"), AND(C162="Cluster 4", D162="Kurang Patuh")), "Sesuai Mayoritas", "Meleset")</f>
        <v>Sesuai Mayoritas</v>
      </c>
      <c r="F162" s="7">
        <v>0.75</v>
      </c>
      <c r="G162" s="7">
        <v>0</v>
      </c>
      <c r="H162" s="7">
        <v>0.25</v>
      </c>
      <c r="I162" s="8">
        <v>-2785.72</v>
      </c>
      <c r="J162" s="10">
        <v>0.54369999999999996</v>
      </c>
      <c r="K162" s="10">
        <v>0.39</v>
      </c>
      <c r="L162" s="9">
        <v>0.2137</v>
      </c>
      <c r="M162" s="10">
        <v>0.94159999999999999</v>
      </c>
    </row>
    <row r="163" spans="1:13" x14ac:dyDescent="0.3">
      <c r="A163" s="11">
        <v>162</v>
      </c>
      <c r="B163" s="11" t="s">
        <v>198</v>
      </c>
      <c r="C163" s="12" t="s">
        <v>27</v>
      </c>
      <c r="D163" s="6" t="s">
        <v>18</v>
      </c>
      <c r="E163" s="11" t="str">
        <f t="shared" si="5"/>
        <v>Sesuai Mayoritas</v>
      </c>
      <c r="F163" s="7">
        <v>0.79200000000000004</v>
      </c>
      <c r="G163" s="7">
        <v>0</v>
      </c>
      <c r="H163" s="7">
        <v>0.20799999999999999</v>
      </c>
      <c r="I163" s="8">
        <v>-226.55</v>
      </c>
      <c r="J163" s="13">
        <v>0.80369999999999997</v>
      </c>
      <c r="K163" s="13">
        <v>0.72370000000000001</v>
      </c>
      <c r="L163" s="9">
        <v>0.23169999999999999</v>
      </c>
      <c r="M163" s="13">
        <v>0.88249999999999995</v>
      </c>
    </row>
    <row r="164" spans="1:13" x14ac:dyDescent="0.3">
      <c r="A164" s="4">
        <v>163</v>
      </c>
      <c r="B164" s="4" t="s">
        <v>199</v>
      </c>
      <c r="C164" s="5" t="s">
        <v>27</v>
      </c>
      <c r="D164" s="6" t="s">
        <v>18</v>
      </c>
      <c r="E164" s="4" t="str">
        <f t="shared" si="5"/>
        <v>Sesuai Mayoritas</v>
      </c>
      <c r="F164" s="7">
        <v>0.66700000000000004</v>
      </c>
      <c r="G164" s="7">
        <v>0</v>
      </c>
      <c r="H164" s="7">
        <v>0.33300000000000002</v>
      </c>
      <c r="I164" s="8">
        <v>-707.59</v>
      </c>
      <c r="J164" s="10">
        <v>0.60929999999999995</v>
      </c>
      <c r="K164" s="10">
        <v>0.71650000000000003</v>
      </c>
      <c r="L164" s="9">
        <v>0.33510000000000001</v>
      </c>
      <c r="M164" s="10">
        <v>0.81179999999999997</v>
      </c>
    </row>
    <row r="165" spans="1:13" x14ac:dyDescent="0.3">
      <c r="A165" s="11">
        <v>164</v>
      </c>
      <c r="B165" s="11" t="s">
        <v>200</v>
      </c>
      <c r="C165" s="12" t="s">
        <v>27</v>
      </c>
      <c r="D165" s="6" t="s">
        <v>18</v>
      </c>
      <c r="E165" s="11" t="str">
        <f t="shared" si="5"/>
        <v>Sesuai Mayoritas</v>
      </c>
      <c r="F165" s="7">
        <v>0.75</v>
      </c>
      <c r="G165" s="7">
        <v>0</v>
      </c>
      <c r="H165" s="7">
        <v>0.25</v>
      </c>
      <c r="I165" s="8">
        <v>-3014.44</v>
      </c>
      <c r="J165" s="13">
        <v>0.53290000000000004</v>
      </c>
      <c r="K165" s="13">
        <v>0.36059999999999998</v>
      </c>
      <c r="L165" s="9">
        <v>0.23680000000000001</v>
      </c>
      <c r="M165" s="13">
        <v>0.95599999999999996</v>
      </c>
    </row>
    <row r="166" spans="1:13" x14ac:dyDescent="0.3">
      <c r="A166" s="4">
        <v>165</v>
      </c>
      <c r="B166" s="4" t="s">
        <v>201</v>
      </c>
      <c r="C166" s="5" t="s">
        <v>27</v>
      </c>
      <c r="D166" s="6" t="s">
        <v>18</v>
      </c>
      <c r="E166" s="4" t="str">
        <f t="shared" si="5"/>
        <v>Sesuai Mayoritas</v>
      </c>
      <c r="F166" s="7">
        <v>0.93799999999999994</v>
      </c>
      <c r="G166" s="7">
        <v>0</v>
      </c>
      <c r="H166" s="7">
        <v>6.2E-2</v>
      </c>
      <c r="I166" s="8">
        <v>-2591.4899999999998</v>
      </c>
      <c r="J166" s="10">
        <v>0.86099999999999999</v>
      </c>
      <c r="K166" s="10">
        <v>0.42080000000000001</v>
      </c>
      <c r="L166" s="9">
        <v>0.20530000000000001</v>
      </c>
      <c r="M166" s="10">
        <v>1.0905</v>
      </c>
    </row>
    <row r="167" spans="1:13" x14ac:dyDescent="0.3">
      <c r="A167" s="11">
        <v>166</v>
      </c>
      <c r="B167" s="11" t="s">
        <v>202</v>
      </c>
      <c r="C167" s="12" t="s">
        <v>27</v>
      </c>
      <c r="D167" s="6" t="s">
        <v>18</v>
      </c>
      <c r="E167" s="11" t="str">
        <f t="shared" si="5"/>
        <v>Sesuai Mayoritas</v>
      </c>
      <c r="F167" s="7">
        <v>0.77100000000000002</v>
      </c>
      <c r="G167" s="7">
        <v>0</v>
      </c>
      <c r="H167" s="7">
        <v>0.22900000000000001</v>
      </c>
      <c r="I167" s="8">
        <v>-2857.81</v>
      </c>
      <c r="J167" s="13">
        <v>0.57410000000000005</v>
      </c>
      <c r="K167" s="13">
        <v>0.36749999999999999</v>
      </c>
      <c r="L167" s="9">
        <v>0.1968</v>
      </c>
      <c r="M167" s="13">
        <v>0.95950000000000002</v>
      </c>
    </row>
    <row r="168" spans="1:13" x14ac:dyDescent="0.3">
      <c r="A168" s="4">
        <v>167</v>
      </c>
      <c r="B168" s="4" t="s">
        <v>203</v>
      </c>
      <c r="C168" s="5" t="s">
        <v>27</v>
      </c>
      <c r="D168" s="6" t="s">
        <v>18</v>
      </c>
      <c r="E168" s="4" t="str">
        <f t="shared" si="5"/>
        <v>Sesuai Mayoritas</v>
      </c>
      <c r="F168" s="7">
        <v>0.93799999999999994</v>
      </c>
      <c r="G168" s="7">
        <v>0</v>
      </c>
      <c r="H168" s="7">
        <v>6.2E-2</v>
      </c>
      <c r="I168" s="8">
        <v>-792.71</v>
      </c>
      <c r="J168" s="10">
        <v>0.9587</v>
      </c>
      <c r="K168" s="10">
        <v>0.66110000000000002</v>
      </c>
      <c r="L168" s="9">
        <v>0.216</v>
      </c>
      <c r="M168" s="10">
        <v>1.0306</v>
      </c>
    </row>
    <row r="169" spans="1:13" x14ac:dyDescent="0.3">
      <c r="A169" s="11">
        <v>168</v>
      </c>
      <c r="B169" s="11" t="s">
        <v>204</v>
      </c>
      <c r="C169" s="12" t="s">
        <v>27</v>
      </c>
      <c r="D169" s="6" t="s">
        <v>18</v>
      </c>
      <c r="E169" s="11" t="str">
        <f t="shared" si="5"/>
        <v>Sesuai Mayoritas</v>
      </c>
      <c r="F169" s="7">
        <v>0.68799999999999994</v>
      </c>
      <c r="G169" s="7">
        <v>0</v>
      </c>
      <c r="H169" s="7">
        <v>0.312</v>
      </c>
      <c r="I169" s="8">
        <v>-1396.06</v>
      </c>
      <c r="J169" s="13">
        <v>0.5595</v>
      </c>
      <c r="K169" s="13">
        <v>0.61319999999999997</v>
      </c>
      <c r="L169" s="9">
        <v>0.26950000000000002</v>
      </c>
      <c r="M169" s="13">
        <v>0.83979999999999999</v>
      </c>
    </row>
    <row r="170" spans="1:13" x14ac:dyDescent="0.3">
      <c r="A170" s="4">
        <v>169</v>
      </c>
      <c r="B170" s="4" t="s">
        <v>205</v>
      </c>
      <c r="C170" s="5" t="s">
        <v>27</v>
      </c>
      <c r="D170" s="6" t="s">
        <v>18</v>
      </c>
      <c r="E170" s="4" t="str">
        <f t="shared" si="5"/>
        <v>Sesuai Mayoritas</v>
      </c>
      <c r="F170" s="7">
        <v>1</v>
      </c>
      <c r="G170" s="7">
        <v>0</v>
      </c>
      <c r="H170" s="7">
        <v>0</v>
      </c>
      <c r="I170" s="8">
        <v>-445.67</v>
      </c>
      <c r="J170" s="10">
        <v>1.077</v>
      </c>
      <c r="K170" s="10">
        <v>0.74180000000000001</v>
      </c>
      <c r="L170" s="9">
        <v>0.3322</v>
      </c>
      <c r="M170" s="10">
        <v>1.0988</v>
      </c>
    </row>
    <row r="171" spans="1:13" x14ac:dyDescent="0.3">
      <c r="A171" s="11">
        <v>170</v>
      </c>
      <c r="B171" s="11" t="s">
        <v>206</v>
      </c>
      <c r="C171" s="12" t="s">
        <v>27</v>
      </c>
      <c r="D171" s="6" t="s">
        <v>18</v>
      </c>
      <c r="E171" s="11" t="str">
        <f t="shared" si="5"/>
        <v>Sesuai Mayoritas</v>
      </c>
      <c r="F171" s="7">
        <v>0.75</v>
      </c>
      <c r="G171" s="7">
        <v>0</v>
      </c>
      <c r="H171" s="7">
        <v>0.25</v>
      </c>
      <c r="I171" s="8">
        <v>-2894.22</v>
      </c>
      <c r="J171" s="13">
        <v>0.53839999999999999</v>
      </c>
      <c r="K171" s="13">
        <v>0.376</v>
      </c>
      <c r="L171" s="9">
        <v>0.22439999999999999</v>
      </c>
      <c r="M171" s="13">
        <v>0.94830000000000003</v>
      </c>
    </row>
    <row r="172" spans="1:13" x14ac:dyDescent="0.3">
      <c r="A172" s="4">
        <v>171</v>
      </c>
      <c r="B172" s="4" t="s">
        <v>207</v>
      </c>
      <c r="C172" s="5" t="s">
        <v>27</v>
      </c>
      <c r="D172" s="6" t="s">
        <v>18</v>
      </c>
      <c r="E172" s="4" t="str">
        <f t="shared" si="5"/>
        <v>Sesuai Mayoritas</v>
      </c>
      <c r="F172" s="7">
        <v>0.97899999999999998</v>
      </c>
      <c r="G172" s="7">
        <v>0</v>
      </c>
      <c r="H172" s="7">
        <v>2.1000000000000001E-2</v>
      </c>
      <c r="I172" s="8">
        <v>-3415.72</v>
      </c>
      <c r="J172" s="10">
        <v>0.90990000000000004</v>
      </c>
      <c r="K172" s="10">
        <v>0.36149999999999999</v>
      </c>
      <c r="L172" s="9">
        <v>0.33539999999999998</v>
      </c>
      <c r="M172" s="10">
        <v>1.1794</v>
      </c>
    </row>
    <row r="173" spans="1:13" x14ac:dyDescent="0.3">
      <c r="A173" s="11">
        <v>172</v>
      </c>
      <c r="B173" s="11" t="s">
        <v>208</v>
      </c>
      <c r="C173" s="12" t="s">
        <v>27</v>
      </c>
      <c r="D173" s="6" t="s">
        <v>18</v>
      </c>
      <c r="E173" s="11" t="str">
        <f t="shared" si="5"/>
        <v>Sesuai Mayoritas</v>
      </c>
      <c r="F173" s="7">
        <v>0.95799999999999996</v>
      </c>
      <c r="G173" s="7">
        <v>0</v>
      </c>
      <c r="H173" s="7">
        <v>4.2000000000000003E-2</v>
      </c>
      <c r="I173" s="8">
        <v>-602.29999999999995</v>
      </c>
      <c r="J173" s="13">
        <v>1.0034000000000001</v>
      </c>
      <c r="K173" s="13">
        <v>0.69689999999999996</v>
      </c>
      <c r="L173" s="9">
        <v>0.26100000000000001</v>
      </c>
      <c r="M173" s="13">
        <v>1.0512999999999999</v>
      </c>
    </row>
    <row r="174" spans="1:13" x14ac:dyDescent="0.3">
      <c r="A174" s="4">
        <v>173</v>
      </c>
      <c r="B174" s="4" t="s">
        <v>209</v>
      </c>
      <c r="C174" s="5" t="s">
        <v>27</v>
      </c>
      <c r="D174" s="6" t="s">
        <v>18</v>
      </c>
      <c r="E174" s="4" t="str">
        <f t="shared" si="5"/>
        <v>Sesuai Mayoritas</v>
      </c>
      <c r="F174" s="7">
        <v>0.89600000000000002</v>
      </c>
      <c r="G174" s="7">
        <v>0</v>
      </c>
      <c r="H174" s="7">
        <v>0.104</v>
      </c>
      <c r="I174" s="8">
        <v>-757.21</v>
      </c>
      <c r="J174" s="10">
        <v>0.89959999999999996</v>
      </c>
      <c r="K174" s="10">
        <v>0.65129999999999999</v>
      </c>
      <c r="L174" s="9">
        <v>0.1704</v>
      </c>
      <c r="M174" s="10">
        <v>0.98529999999999995</v>
      </c>
    </row>
    <row r="175" spans="1:13" x14ac:dyDescent="0.3">
      <c r="A175" s="11">
        <v>174</v>
      </c>
      <c r="B175" s="11" t="s">
        <v>210</v>
      </c>
      <c r="C175" s="12" t="s">
        <v>27</v>
      </c>
      <c r="D175" s="6" t="s">
        <v>18</v>
      </c>
      <c r="E175" s="11" t="str">
        <f t="shared" si="5"/>
        <v>Sesuai Mayoritas</v>
      </c>
      <c r="F175" s="7">
        <v>0.81200000000000006</v>
      </c>
      <c r="G175" s="7">
        <v>0</v>
      </c>
      <c r="H175" s="7">
        <v>0.188</v>
      </c>
      <c r="I175" s="8">
        <v>-1019.46</v>
      </c>
      <c r="J175" s="13">
        <v>0.75949999999999995</v>
      </c>
      <c r="K175" s="13">
        <v>0.60880000000000001</v>
      </c>
      <c r="L175" s="9">
        <v>0.1147</v>
      </c>
      <c r="M175" s="13">
        <v>0.91200000000000003</v>
      </c>
    </row>
    <row r="176" spans="1:13" x14ac:dyDescent="0.3">
      <c r="A176" s="4">
        <v>175</v>
      </c>
      <c r="B176" s="4" t="s">
        <v>211</v>
      </c>
      <c r="C176" s="5" t="s">
        <v>27</v>
      </c>
      <c r="D176" s="6" t="s">
        <v>19</v>
      </c>
      <c r="E176" s="4" t="str">
        <f t="shared" si="5"/>
        <v>Meleset</v>
      </c>
      <c r="F176" s="7">
        <v>0.58299999999999996</v>
      </c>
      <c r="G176" s="7">
        <v>0.104</v>
      </c>
      <c r="H176" s="7">
        <v>0.312</v>
      </c>
      <c r="I176" s="8">
        <v>-130.94</v>
      </c>
      <c r="J176" s="10">
        <v>0.68130000000000002</v>
      </c>
      <c r="K176" s="10">
        <v>0.81520000000000004</v>
      </c>
      <c r="L176" s="9">
        <v>0.42399999999999999</v>
      </c>
      <c r="M176" s="10">
        <v>0.64980000000000004</v>
      </c>
    </row>
    <row r="177" spans="1:13" x14ac:dyDescent="0.3">
      <c r="A177" s="11">
        <v>176</v>
      </c>
      <c r="B177" s="11" t="s">
        <v>212</v>
      </c>
      <c r="C177" s="12" t="s">
        <v>27</v>
      </c>
      <c r="D177" s="6" t="s">
        <v>18</v>
      </c>
      <c r="E177" s="11" t="str">
        <f t="shared" si="5"/>
        <v>Sesuai Mayoritas</v>
      </c>
      <c r="F177" s="7">
        <v>0.66700000000000004</v>
      </c>
      <c r="G177" s="7">
        <v>0</v>
      </c>
      <c r="H177" s="7">
        <v>0.33300000000000002</v>
      </c>
      <c r="I177" s="8">
        <v>-527.38</v>
      </c>
      <c r="J177" s="13">
        <v>0.62990000000000002</v>
      </c>
      <c r="K177" s="13">
        <v>0.73970000000000002</v>
      </c>
      <c r="L177" s="9">
        <v>0.34710000000000002</v>
      </c>
      <c r="M177" s="13">
        <v>0.80869999999999997</v>
      </c>
    </row>
    <row r="178" spans="1:13" x14ac:dyDescent="0.3">
      <c r="A178" s="4">
        <v>177</v>
      </c>
      <c r="B178" s="4" t="s">
        <v>213</v>
      </c>
      <c r="C178" s="5" t="s">
        <v>27</v>
      </c>
      <c r="D178" s="6" t="s">
        <v>18</v>
      </c>
      <c r="E178" s="4" t="str">
        <f t="shared" si="5"/>
        <v>Sesuai Mayoritas</v>
      </c>
      <c r="F178" s="7">
        <v>0.75</v>
      </c>
      <c r="G178" s="7">
        <v>0</v>
      </c>
      <c r="H178" s="7">
        <v>0.25</v>
      </c>
      <c r="I178" s="8">
        <v>-2286.14</v>
      </c>
      <c r="J178" s="10">
        <v>0.57289999999999996</v>
      </c>
      <c r="K178" s="10">
        <v>0.45550000000000002</v>
      </c>
      <c r="L178" s="9">
        <v>0.1736</v>
      </c>
      <c r="M178" s="10">
        <v>0.91359999999999997</v>
      </c>
    </row>
    <row r="179" spans="1:13" x14ac:dyDescent="0.3">
      <c r="A179" s="11">
        <v>178</v>
      </c>
      <c r="B179" s="11" t="s">
        <v>214</v>
      </c>
      <c r="C179" s="12" t="s">
        <v>27</v>
      </c>
      <c r="D179" s="6" t="s">
        <v>18</v>
      </c>
      <c r="E179" s="11" t="str">
        <f t="shared" si="5"/>
        <v>Sesuai Mayoritas</v>
      </c>
      <c r="F179" s="7">
        <v>0.91700000000000004</v>
      </c>
      <c r="G179" s="7">
        <v>0</v>
      </c>
      <c r="H179" s="7">
        <v>8.3000000000000004E-2</v>
      </c>
      <c r="I179" s="8">
        <v>-879.05</v>
      </c>
      <c r="J179" s="13">
        <v>0.92149999999999999</v>
      </c>
      <c r="K179" s="13">
        <v>0.64090000000000003</v>
      </c>
      <c r="L179" s="9">
        <v>0.18090000000000001</v>
      </c>
      <c r="M179" s="13">
        <v>1.0094000000000001</v>
      </c>
    </row>
    <row r="180" spans="1:13" x14ac:dyDescent="0.3">
      <c r="A180" s="4">
        <v>179</v>
      </c>
      <c r="B180" s="4" t="s">
        <v>215</v>
      </c>
      <c r="C180" s="5" t="s">
        <v>27</v>
      </c>
      <c r="D180" s="6" t="s">
        <v>18</v>
      </c>
      <c r="E180" s="4" t="str">
        <f t="shared" si="5"/>
        <v>Sesuai Mayoritas</v>
      </c>
      <c r="F180" s="7">
        <v>0.97899999999999998</v>
      </c>
      <c r="G180" s="7">
        <v>0</v>
      </c>
      <c r="H180" s="7">
        <v>2.1000000000000001E-2</v>
      </c>
      <c r="I180" s="8">
        <v>-929.81</v>
      </c>
      <c r="J180" s="10">
        <v>1.0129999999999999</v>
      </c>
      <c r="K180" s="10">
        <v>0.66510000000000002</v>
      </c>
      <c r="L180" s="9">
        <v>0.26679999999999998</v>
      </c>
      <c r="M180" s="10">
        <v>1.0807</v>
      </c>
    </row>
    <row r="181" spans="1:13" x14ac:dyDescent="0.3">
      <c r="A181" s="11">
        <v>180</v>
      </c>
      <c r="B181" s="11" t="s">
        <v>216</v>
      </c>
      <c r="C181" s="12" t="s">
        <v>27</v>
      </c>
      <c r="D181" s="6" t="s">
        <v>18</v>
      </c>
      <c r="E181" s="11" t="str">
        <f t="shared" si="5"/>
        <v>Sesuai Mayoritas</v>
      </c>
      <c r="F181" s="7">
        <v>0.70799999999999996</v>
      </c>
      <c r="G181" s="7">
        <v>0</v>
      </c>
      <c r="H181" s="7">
        <v>0.29199999999999998</v>
      </c>
      <c r="I181" s="8">
        <v>-318</v>
      </c>
      <c r="J181" s="13">
        <v>0.69679999999999997</v>
      </c>
      <c r="K181" s="13">
        <v>0.74160000000000004</v>
      </c>
      <c r="L181" s="9">
        <v>0.30559999999999998</v>
      </c>
      <c r="M181" s="13">
        <v>0.82630000000000003</v>
      </c>
    </row>
    <row r="182" spans="1:13" x14ac:dyDescent="0.3">
      <c r="A182" s="4">
        <v>181</v>
      </c>
      <c r="B182" s="4" t="s">
        <v>217</v>
      </c>
      <c r="C182" s="5" t="s">
        <v>27</v>
      </c>
      <c r="D182" s="6" t="s">
        <v>18</v>
      </c>
      <c r="E182" s="4" t="str">
        <f t="shared" si="5"/>
        <v>Sesuai Mayoritas</v>
      </c>
      <c r="F182" s="7">
        <v>0.91700000000000004</v>
      </c>
      <c r="G182" s="7">
        <v>0</v>
      </c>
      <c r="H182" s="7">
        <v>8.3000000000000004E-2</v>
      </c>
      <c r="I182" s="8">
        <v>-2489.9499999999998</v>
      </c>
      <c r="J182" s="10">
        <v>0.83020000000000005</v>
      </c>
      <c r="K182" s="10">
        <v>0.42120000000000002</v>
      </c>
      <c r="L182" s="9">
        <v>0.1678</v>
      </c>
      <c r="M182" s="10">
        <v>1.0641</v>
      </c>
    </row>
    <row r="183" spans="1:13" x14ac:dyDescent="0.3">
      <c r="A183" s="11">
        <v>182</v>
      </c>
      <c r="B183" s="11" t="s">
        <v>218</v>
      </c>
      <c r="C183" s="12" t="s">
        <v>27</v>
      </c>
      <c r="D183" s="6" t="s">
        <v>18</v>
      </c>
      <c r="E183" s="11" t="str">
        <f t="shared" si="5"/>
        <v>Sesuai Mayoritas</v>
      </c>
      <c r="F183" s="7">
        <v>0.75</v>
      </c>
      <c r="G183" s="7">
        <v>0</v>
      </c>
      <c r="H183" s="7">
        <v>0.25</v>
      </c>
      <c r="I183" s="8">
        <v>-1360.67</v>
      </c>
      <c r="J183" s="13">
        <v>0.64410000000000001</v>
      </c>
      <c r="K183" s="13">
        <v>0.57999999999999996</v>
      </c>
      <c r="L183" s="9">
        <v>0.16619999999999999</v>
      </c>
      <c r="M183" s="13">
        <v>0.87429999999999997</v>
      </c>
    </row>
    <row r="184" spans="1:13" x14ac:dyDescent="0.3">
      <c r="A184" s="4">
        <v>183</v>
      </c>
      <c r="B184" s="4" t="s">
        <v>219</v>
      </c>
      <c r="C184" s="5" t="s">
        <v>27</v>
      </c>
      <c r="D184" s="6" t="s">
        <v>18</v>
      </c>
      <c r="E184" s="4" t="str">
        <f t="shared" si="5"/>
        <v>Sesuai Mayoritas</v>
      </c>
      <c r="F184" s="7">
        <v>0.93799999999999994</v>
      </c>
      <c r="G184" s="7">
        <v>0</v>
      </c>
      <c r="H184" s="7">
        <v>6.2E-2</v>
      </c>
      <c r="I184" s="8">
        <v>-3490.13</v>
      </c>
      <c r="J184" s="10">
        <v>0.83709999999999996</v>
      </c>
      <c r="K184" s="10">
        <v>0.309</v>
      </c>
      <c r="L184" s="9">
        <v>0.2969</v>
      </c>
      <c r="M184" s="10">
        <v>1.1406000000000001</v>
      </c>
    </row>
    <row r="185" spans="1:13" x14ac:dyDescent="0.3">
      <c r="A185" s="11">
        <v>184</v>
      </c>
      <c r="B185" s="11" t="s">
        <v>220</v>
      </c>
      <c r="C185" s="12" t="s">
        <v>27</v>
      </c>
      <c r="D185" s="6" t="s">
        <v>18</v>
      </c>
      <c r="E185" s="11" t="str">
        <f t="shared" si="5"/>
        <v>Sesuai Mayoritas</v>
      </c>
      <c r="F185" s="7">
        <v>0.81200000000000006</v>
      </c>
      <c r="G185" s="7">
        <v>0</v>
      </c>
      <c r="H185" s="7">
        <v>0.188</v>
      </c>
      <c r="I185" s="8">
        <v>-568.28</v>
      </c>
      <c r="J185" s="13">
        <v>0.79849999999999999</v>
      </c>
      <c r="K185" s="13">
        <v>0.67230000000000001</v>
      </c>
      <c r="L185" s="9">
        <v>0.1744</v>
      </c>
      <c r="M185" s="13">
        <v>0.90339999999999998</v>
      </c>
    </row>
    <row r="186" spans="1:13" x14ac:dyDescent="0.3">
      <c r="A186" s="4">
        <v>185</v>
      </c>
      <c r="B186" s="4" t="s">
        <v>221</v>
      </c>
      <c r="C186" s="5" t="s">
        <v>27</v>
      </c>
      <c r="D186" s="6" t="s">
        <v>18</v>
      </c>
      <c r="E186" s="4" t="str">
        <f t="shared" si="5"/>
        <v>Sesuai Mayoritas</v>
      </c>
      <c r="F186" s="7">
        <v>0.93799999999999994</v>
      </c>
      <c r="G186" s="7">
        <v>0</v>
      </c>
      <c r="H186" s="7">
        <v>6.2E-2</v>
      </c>
      <c r="I186" s="8">
        <v>-2244.98</v>
      </c>
      <c r="J186" s="10">
        <v>0.875</v>
      </c>
      <c r="K186" s="10">
        <v>0.46600000000000003</v>
      </c>
      <c r="L186" s="9">
        <v>0.1817</v>
      </c>
      <c r="M186" s="10">
        <v>1.0746</v>
      </c>
    </row>
    <row r="187" spans="1:13" x14ac:dyDescent="0.3">
      <c r="A187" s="11">
        <v>186</v>
      </c>
      <c r="B187" s="11" t="s">
        <v>222</v>
      </c>
      <c r="C187" s="12" t="s">
        <v>27</v>
      </c>
      <c r="D187" s="6" t="s">
        <v>18</v>
      </c>
      <c r="E187" s="11" t="str">
        <f t="shared" si="5"/>
        <v>Sesuai Mayoritas</v>
      </c>
      <c r="F187" s="7">
        <v>0.68799999999999994</v>
      </c>
      <c r="G187" s="7">
        <v>0</v>
      </c>
      <c r="H187" s="7">
        <v>0.312</v>
      </c>
      <c r="I187" s="8">
        <v>-3444.52</v>
      </c>
      <c r="J187" s="13">
        <v>0.41210000000000002</v>
      </c>
      <c r="K187" s="13">
        <v>0.37340000000000001</v>
      </c>
      <c r="L187" s="9">
        <v>0.35620000000000002</v>
      </c>
      <c r="M187" s="13">
        <v>0.9536</v>
      </c>
    </row>
    <row r="188" spans="1:13" x14ac:dyDescent="0.3">
      <c r="A188" s="4">
        <v>187</v>
      </c>
      <c r="B188" s="4" t="s">
        <v>223</v>
      </c>
      <c r="C188" s="5" t="s">
        <v>27</v>
      </c>
      <c r="D188" s="6" t="s">
        <v>18</v>
      </c>
      <c r="E188" s="4" t="str">
        <f t="shared" si="5"/>
        <v>Sesuai Mayoritas</v>
      </c>
      <c r="F188" s="7">
        <v>0.75</v>
      </c>
      <c r="G188" s="7">
        <v>0</v>
      </c>
      <c r="H188" s="7">
        <v>0.25</v>
      </c>
      <c r="I188" s="8">
        <v>-1446.67</v>
      </c>
      <c r="J188" s="10">
        <v>0.63670000000000004</v>
      </c>
      <c r="K188" s="10">
        <v>0.56830000000000003</v>
      </c>
      <c r="L188" s="9">
        <v>0.16259999999999999</v>
      </c>
      <c r="M188" s="10">
        <v>0.87719999999999998</v>
      </c>
    </row>
    <row r="189" spans="1:13" x14ac:dyDescent="0.3">
      <c r="A189" s="11">
        <v>188</v>
      </c>
      <c r="B189" s="11" t="s">
        <v>224</v>
      </c>
      <c r="C189" s="12" t="s">
        <v>27</v>
      </c>
      <c r="D189" s="6" t="s">
        <v>18</v>
      </c>
      <c r="E189" s="11" t="str">
        <f t="shared" si="5"/>
        <v>Sesuai Mayoritas</v>
      </c>
      <c r="F189" s="7">
        <v>0.93799999999999994</v>
      </c>
      <c r="G189" s="7">
        <v>0</v>
      </c>
      <c r="H189" s="7">
        <v>6.2E-2</v>
      </c>
      <c r="I189" s="8">
        <v>-1587.4</v>
      </c>
      <c r="J189" s="13">
        <v>0.90810000000000002</v>
      </c>
      <c r="K189" s="13">
        <v>0.55349999999999999</v>
      </c>
      <c r="L189" s="9">
        <v>0.16969999999999999</v>
      </c>
      <c r="M189" s="13">
        <v>1.05</v>
      </c>
    </row>
    <row r="190" spans="1:13" x14ac:dyDescent="0.3">
      <c r="A190" s="4">
        <v>189</v>
      </c>
      <c r="B190" s="4" t="s">
        <v>225</v>
      </c>
      <c r="C190" s="5" t="s">
        <v>27</v>
      </c>
      <c r="D190" s="6" t="s">
        <v>18</v>
      </c>
      <c r="E190" s="4" t="str">
        <f t="shared" si="5"/>
        <v>Sesuai Mayoritas</v>
      </c>
      <c r="F190" s="7">
        <v>0.79200000000000004</v>
      </c>
      <c r="G190" s="7">
        <v>0</v>
      </c>
      <c r="H190" s="7">
        <v>0.20799999999999999</v>
      </c>
      <c r="I190" s="8">
        <v>-2666.08</v>
      </c>
      <c r="J190" s="10">
        <v>0.61709999999999998</v>
      </c>
      <c r="K190" s="10">
        <v>0.38379999999999997</v>
      </c>
      <c r="L190" s="9">
        <v>0.15390000000000001</v>
      </c>
      <c r="M190" s="10">
        <v>0.96289999999999998</v>
      </c>
    </row>
    <row r="191" spans="1:13" x14ac:dyDescent="0.3">
      <c r="A191" s="11">
        <v>190</v>
      </c>
      <c r="B191" s="11" t="s">
        <v>226</v>
      </c>
      <c r="C191" s="12" t="s">
        <v>27</v>
      </c>
      <c r="D191" s="6" t="s">
        <v>18</v>
      </c>
      <c r="E191" s="11" t="str">
        <f t="shared" si="5"/>
        <v>Sesuai Mayoritas</v>
      </c>
      <c r="F191" s="7">
        <v>0.95799999999999996</v>
      </c>
      <c r="G191" s="7">
        <v>0</v>
      </c>
      <c r="H191" s="7">
        <v>4.2000000000000003E-2</v>
      </c>
      <c r="I191" s="8">
        <v>-2370.7399999999998</v>
      </c>
      <c r="J191" s="13">
        <v>0.90410000000000001</v>
      </c>
      <c r="K191" s="13">
        <v>0.46429999999999999</v>
      </c>
      <c r="L191" s="9">
        <v>0.22170000000000001</v>
      </c>
      <c r="M191" s="13">
        <v>1.1026</v>
      </c>
    </row>
    <row r="192" spans="1:13" x14ac:dyDescent="0.3">
      <c r="A192" s="4">
        <v>191</v>
      </c>
      <c r="B192" s="4" t="s">
        <v>227</v>
      </c>
      <c r="C192" s="5" t="s">
        <v>27</v>
      </c>
      <c r="D192" s="6" t="s">
        <v>18</v>
      </c>
      <c r="E192" s="4" t="str">
        <f t="shared" si="5"/>
        <v>Sesuai Mayoritas</v>
      </c>
      <c r="F192" s="7">
        <v>0.70799999999999996</v>
      </c>
      <c r="G192" s="7">
        <v>0</v>
      </c>
      <c r="H192" s="7">
        <v>0.29199999999999998</v>
      </c>
      <c r="I192" s="8">
        <v>-3099.91</v>
      </c>
      <c r="J192" s="10">
        <v>0.4607</v>
      </c>
      <c r="K192" s="10">
        <v>0.3871</v>
      </c>
      <c r="L192" s="9">
        <v>0.29709999999999998</v>
      </c>
      <c r="M192" s="10">
        <v>0.93869999999999998</v>
      </c>
    </row>
    <row r="193" spans="1:13" x14ac:dyDescent="0.3">
      <c r="A193" s="11">
        <v>192</v>
      </c>
      <c r="B193" s="11" t="s">
        <v>228</v>
      </c>
      <c r="C193" s="12" t="s">
        <v>27</v>
      </c>
      <c r="D193" s="6" t="s">
        <v>18</v>
      </c>
      <c r="E193" s="11" t="str">
        <f t="shared" si="5"/>
        <v>Sesuai Mayoritas</v>
      </c>
      <c r="F193" s="7">
        <v>0.77100000000000002</v>
      </c>
      <c r="G193" s="7">
        <v>0</v>
      </c>
      <c r="H193" s="7">
        <v>0.22900000000000001</v>
      </c>
      <c r="I193" s="8">
        <v>-1561.68</v>
      </c>
      <c r="J193" s="13">
        <v>0.65649999999999997</v>
      </c>
      <c r="K193" s="13">
        <v>0.54369999999999996</v>
      </c>
      <c r="L193" s="9">
        <v>0.1237</v>
      </c>
      <c r="M193" s="13">
        <v>0.89580000000000004</v>
      </c>
    </row>
    <row r="194" spans="1:13" x14ac:dyDescent="0.3">
      <c r="A194" s="4">
        <v>193</v>
      </c>
      <c r="B194" s="4" t="s">
        <v>229</v>
      </c>
      <c r="C194" s="5" t="s">
        <v>29</v>
      </c>
      <c r="D194" s="6" t="s">
        <v>19</v>
      </c>
      <c r="E194" s="4" t="str">
        <f t="shared" ref="E194:E225" si="6">IF(OR(AND(C194="Cluster 1", D194="Tidak Patuh"), AND(C194="Cluster 2", D194="Patuh"), AND(C194="Cluster 3", D194="Patuh"), AND(C194="Cluster 4", D194="Kurang Patuh")), "Sesuai Mayoritas", "Meleset")</f>
        <v>Sesuai Mayoritas</v>
      </c>
      <c r="F194" s="7">
        <v>0.104</v>
      </c>
      <c r="G194" s="7">
        <v>0.81200000000000006</v>
      </c>
      <c r="H194" s="7">
        <v>8.3000000000000004E-2</v>
      </c>
      <c r="I194" s="8">
        <v>138.44999999999999</v>
      </c>
      <c r="J194" s="10">
        <v>1.3843000000000001</v>
      </c>
      <c r="K194" s="10">
        <v>1.4650000000000001</v>
      </c>
      <c r="L194" s="10">
        <v>1.2687999999999999</v>
      </c>
      <c r="M194" s="9">
        <v>0.44729999999999998</v>
      </c>
    </row>
    <row r="195" spans="1:13" x14ac:dyDescent="0.3">
      <c r="A195" s="11">
        <v>194</v>
      </c>
      <c r="B195" s="11" t="s">
        <v>230</v>
      </c>
      <c r="C195" s="12" t="s">
        <v>29</v>
      </c>
      <c r="D195" s="6" t="s">
        <v>19</v>
      </c>
      <c r="E195" s="11" t="str">
        <f t="shared" si="6"/>
        <v>Sesuai Mayoritas</v>
      </c>
      <c r="F195" s="7">
        <v>0.41699999999999998</v>
      </c>
      <c r="G195" s="7">
        <v>0.54200000000000004</v>
      </c>
      <c r="H195" s="7">
        <v>4.2000000000000003E-2</v>
      </c>
      <c r="I195" s="8">
        <v>25.46</v>
      </c>
      <c r="J195" s="13">
        <v>1.1395999999999999</v>
      </c>
      <c r="K195" s="13">
        <v>1.1048</v>
      </c>
      <c r="L195" s="13">
        <v>0.83950000000000002</v>
      </c>
      <c r="M195" s="9">
        <v>0.38500000000000001</v>
      </c>
    </row>
    <row r="196" spans="1:13" x14ac:dyDescent="0.3">
      <c r="A196" s="4">
        <v>195</v>
      </c>
      <c r="B196" s="4" t="s">
        <v>231</v>
      </c>
      <c r="C196" s="5" t="s">
        <v>29</v>
      </c>
      <c r="D196" s="6" t="s">
        <v>16</v>
      </c>
      <c r="E196" s="4" t="str">
        <f t="shared" si="6"/>
        <v>Meleset</v>
      </c>
      <c r="F196" s="7">
        <v>0.14599999999999999</v>
      </c>
      <c r="G196" s="7">
        <v>0.25</v>
      </c>
      <c r="H196" s="7">
        <v>0.60399999999999998</v>
      </c>
      <c r="I196" s="8">
        <v>54.89</v>
      </c>
      <c r="J196" s="10">
        <v>0.74519999999999997</v>
      </c>
      <c r="K196" s="10">
        <v>1.2424999999999999</v>
      </c>
      <c r="L196" s="10">
        <v>1.0158</v>
      </c>
      <c r="M196" s="9">
        <v>0.58809999999999996</v>
      </c>
    </row>
    <row r="197" spans="1:13" x14ac:dyDescent="0.3">
      <c r="A197" s="11">
        <v>196</v>
      </c>
      <c r="B197" s="11" t="s">
        <v>232</v>
      </c>
      <c r="C197" s="12" t="s">
        <v>29</v>
      </c>
      <c r="D197" s="6" t="s">
        <v>19</v>
      </c>
      <c r="E197" s="11" t="str">
        <f t="shared" si="6"/>
        <v>Sesuai Mayoritas</v>
      </c>
      <c r="F197" s="7">
        <v>0.35399999999999998</v>
      </c>
      <c r="G197" s="7">
        <v>0.33300000000000002</v>
      </c>
      <c r="H197" s="7">
        <v>0.312</v>
      </c>
      <c r="I197" s="8">
        <v>-4.24</v>
      </c>
      <c r="J197" s="13">
        <v>0.79459999999999997</v>
      </c>
      <c r="K197" s="13">
        <v>1.0064</v>
      </c>
      <c r="L197" s="13">
        <v>0.71150000000000002</v>
      </c>
      <c r="M197" s="9">
        <v>0.29089999999999999</v>
      </c>
    </row>
    <row r="198" spans="1:13" x14ac:dyDescent="0.3">
      <c r="A198" s="4">
        <v>197</v>
      </c>
      <c r="B198" s="4" t="s">
        <v>233</v>
      </c>
      <c r="C198" s="5" t="s">
        <v>29</v>
      </c>
      <c r="D198" s="6" t="s">
        <v>19</v>
      </c>
      <c r="E198" s="4" t="str">
        <f t="shared" si="6"/>
        <v>Sesuai Mayoritas</v>
      </c>
      <c r="F198" s="7">
        <v>0.16700000000000001</v>
      </c>
      <c r="G198" s="7">
        <v>0.60399999999999998</v>
      </c>
      <c r="H198" s="7">
        <v>0.22900000000000001</v>
      </c>
      <c r="I198" s="8">
        <v>99.59</v>
      </c>
      <c r="J198" s="10">
        <v>1.0943000000000001</v>
      </c>
      <c r="K198" s="10">
        <v>1.2649999999999999</v>
      </c>
      <c r="L198" s="10">
        <v>1.0363</v>
      </c>
      <c r="M198" s="9">
        <v>0.11409999999999999</v>
      </c>
    </row>
    <row r="199" spans="1:13" x14ac:dyDescent="0.3">
      <c r="A199" s="11">
        <v>198</v>
      </c>
      <c r="B199" s="11" t="s">
        <v>234</v>
      </c>
      <c r="C199" s="12" t="s">
        <v>29</v>
      </c>
      <c r="D199" s="6" t="s">
        <v>19</v>
      </c>
      <c r="E199" s="11" t="str">
        <f t="shared" si="6"/>
        <v>Sesuai Mayoritas</v>
      </c>
      <c r="F199" s="7">
        <v>0</v>
      </c>
      <c r="G199" s="7">
        <v>0.66700000000000004</v>
      </c>
      <c r="H199" s="7">
        <v>0.33300000000000002</v>
      </c>
      <c r="I199" s="8">
        <v>198.78</v>
      </c>
      <c r="J199" s="13">
        <v>1.1621999999999999</v>
      </c>
      <c r="K199" s="13">
        <v>1.4298</v>
      </c>
      <c r="L199" s="13">
        <v>1.2261</v>
      </c>
      <c r="M199" s="9">
        <v>0.28079999999999999</v>
      </c>
    </row>
    <row r="200" spans="1:13" x14ac:dyDescent="0.3">
      <c r="A200" s="4">
        <v>199</v>
      </c>
      <c r="B200" s="4" t="s">
        <v>235</v>
      </c>
      <c r="C200" s="5" t="s">
        <v>29</v>
      </c>
      <c r="D200" s="6" t="s">
        <v>19</v>
      </c>
      <c r="E200" s="4" t="str">
        <f t="shared" si="6"/>
        <v>Sesuai Mayoritas</v>
      </c>
      <c r="F200" s="7">
        <v>0.438</v>
      </c>
      <c r="G200" s="7">
        <v>0.29199999999999998</v>
      </c>
      <c r="H200" s="7">
        <v>0.27100000000000002</v>
      </c>
      <c r="I200" s="8">
        <v>-32.770000000000003</v>
      </c>
      <c r="J200" s="10">
        <v>0.78659999999999997</v>
      </c>
      <c r="K200" s="10">
        <v>0.93359999999999999</v>
      </c>
      <c r="L200" s="10">
        <v>0.6079</v>
      </c>
      <c r="M200" s="9">
        <v>0.3745</v>
      </c>
    </row>
    <row r="201" spans="1:13" x14ac:dyDescent="0.3">
      <c r="A201" s="11">
        <v>200</v>
      </c>
      <c r="B201" s="11" t="s">
        <v>236</v>
      </c>
      <c r="C201" s="12" t="s">
        <v>29</v>
      </c>
      <c r="D201" s="6" t="s">
        <v>19</v>
      </c>
      <c r="E201" s="11" t="str">
        <f t="shared" si="6"/>
        <v>Sesuai Mayoritas</v>
      </c>
      <c r="F201" s="7">
        <v>0</v>
      </c>
      <c r="G201" s="7">
        <v>0.72899999999999998</v>
      </c>
      <c r="H201" s="7">
        <v>0.27100000000000002</v>
      </c>
      <c r="I201" s="8">
        <v>171.43</v>
      </c>
      <c r="J201" s="13">
        <v>1.2402</v>
      </c>
      <c r="K201" s="13">
        <v>1.4613</v>
      </c>
      <c r="L201" s="13">
        <v>1.2636000000000001</v>
      </c>
      <c r="M201" s="9">
        <v>0.31990000000000002</v>
      </c>
    </row>
  </sheetData>
  <mergeCells count="3">
    <mergeCell ref="O1:U1"/>
    <mergeCell ref="O15:U15"/>
    <mergeCell ref="O9:T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9A54-E902-4D21-9E1D-12ECD3F47353}">
  <dimension ref="A1:M16"/>
  <sheetViews>
    <sheetView zoomScale="78" workbookViewId="0">
      <selection activeCell="A2" sqref="A2"/>
    </sheetView>
  </sheetViews>
  <sheetFormatPr defaultRowHeight="14.4" x14ac:dyDescent="0.3"/>
  <cols>
    <col min="2" max="2" width="18.109375" customWidth="1"/>
    <col min="7" max="7" width="13.33203125" customWidth="1"/>
    <col min="8" max="8" width="22.6640625" customWidth="1"/>
    <col min="9" max="9" width="19.5546875" customWidth="1"/>
    <col min="10" max="10" width="18.5546875" customWidth="1"/>
    <col min="11" max="11" width="13.77734375" customWidth="1"/>
    <col min="12" max="12" width="25.6640625" customWidth="1"/>
    <col min="13" max="13" width="21.21875" customWidth="1"/>
  </cols>
  <sheetData>
    <row r="1" spans="1:13" ht="39.6" x14ac:dyDescent="0.3">
      <c r="A1" s="55" t="s">
        <v>0</v>
      </c>
      <c r="B1" s="55" t="s">
        <v>1</v>
      </c>
      <c r="C1" s="55" t="s">
        <v>5</v>
      </c>
      <c r="D1" s="55" t="s">
        <v>2</v>
      </c>
      <c r="E1" s="56" t="s">
        <v>237</v>
      </c>
      <c r="G1" s="57" t="s">
        <v>13</v>
      </c>
      <c r="H1" s="57"/>
      <c r="I1" s="57"/>
      <c r="J1" s="57"/>
      <c r="K1" s="57"/>
      <c r="L1" s="57"/>
      <c r="M1" s="57"/>
    </row>
    <row r="2" spans="1:13" ht="24.6" customHeight="1" x14ac:dyDescent="0.3">
      <c r="A2" s="37">
        <v>193</v>
      </c>
      <c r="B2" s="37" t="s">
        <v>229</v>
      </c>
      <c r="C2" s="58">
        <v>0.104</v>
      </c>
      <c r="D2" s="39" t="s">
        <v>29</v>
      </c>
      <c r="E2" s="59" t="s">
        <v>238</v>
      </c>
      <c r="G2" s="55" t="s">
        <v>17</v>
      </c>
      <c r="H2" s="55" t="s">
        <v>239</v>
      </c>
      <c r="I2" s="55" t="s">
        <v>240</v>
      </c>
      <c r="J2" s="55" t="s">
        <v>241</v>
      </c>
      <c r="K2" s="55" t="s">
        <v>20</v>
      </c>
      <c r="L2" s="55" t="s">
        <v>21</v>
      </c>
      <c r="M2" s="55" t="s">
        <v>22</v>
      </c>
    </row>
    <row r="3" spans="1:13" x14ac:dyDescent="0.3">
      <c r="A3" s="60">
        <v>194</v>
      </c>
      <c r="B3" s="60" t="s">
        <v>230</v>
      </c>
      <c r="C3" s="58">
        <v>0.41699999999999998</v>
      </c>
      <c r="D3" s="61" t="s">
        <v>29</v>
      </c>
      <c r="E3" s="62" t="s">
        <v>243</v>
      </c>
      <c r="G3" s="39" t="s">
        <v>29</v>
      </c>
      <c r="H3" s="37">
        <f>SUMPRODUCT(($D$2:$D$9=G3)*($C$2:$C$9&gt;=0.292))</f>
        <v>3</v>
      </c>
      <c r="I3" s="37">
        <f>SUMPRODUCT(($D$2:$D$9=G3)*($C$2:$C$9&gt;=0)*($C$2:$C$9&lt;=0.145))</f>
        <v>3</v>
      </c>
      <c r="J3" s="37">
        <f>SUMPRODUCT(($D$2:$D$9=G3)*($C$2:$C$9&gt;=0.146)*($C$2:$C$9&lt;=0.291))</f>
        <v>2</v>
      </c>
      <c r="K3" s="39">
        <f>SUM(H3:J3)</f>
        <v>8</v>
      </c>
      <c r="L3" s="39" t="str">
        <f>IF(MAX(H3:J3)=H3, "Patuh", IF(MAX(H3:J3)=I3, "Kurang Patuh", "Tidak Patuh"))</f>
        <v>Patuh</v>
      </c>
      <c r="M3" s="63">
        <f>MAX(H3:J3)</f>
        <v>3</v>
      </c>
    </row>
    <row r="4" spans="1:13" x14ac:dyDescent="0.3">
      <c r="A4" s="37">
        <v>195</v>
      </c>
      <c r="B4" s="37" t="s">
        <v>231</v>
      </c>
      <c r="C4" s="58">
        <v>0.14599999999999999</v>
      </c>
      <c r="D4" s="39" t="s">
        <v>29</v>
      </c>
      <c r="E4" s="64" t="s">
        <v>242</v>
      </c>
      <c r="G4" s="65" t="s">
        <v>20</v>
      </c>
      <c r="H4" s="65">
        <f>SUM(H3:H3)</f>
        <v>3</v>
      </c>
      <c r="I4" s="65">
        <f>SUM(I3:I3)</f>
        <v>3</v>
      </c>
      <c r="J4" s="65">
        <f>SUM(J3:J3)</f>
        <v>2</v>
      </c>
      <c r="K4" s="65">
        <f>SUM(K3:K3)</f>
        <v>8</v>
      </c>
      <c r="L4" s="39" t="s">
        <v>31</v>
      </c>
      <c r="M4" s="65">
        <f>SUM(M3:M3)</f>
        <v>3</v>
      </c>
    </row>
    <row r="5" spans="1:13" x14ac:dyDescent="0.3">
      <c r="A5" s="60">
        <v>196</v>
      </c>
      <c r="B5" s="60" t="s">
        <v>232</v>
      </c>
      <c r="C5" s="58">
        <v>0.35399999999999998</v>
      </c>
      <c r="D5" s="61" t="s">
        <v>29</v>
      </c>
      <c r="E5" s="66" t="s">
        <v>243</v>
      </c>
    </row>
    <row r="6" spans="1:13" x14ac:dyDescent="0.3">
      <c r="A6" s="37">
        <v>197</v>
      </c>
      <c r="B6" s="37" t="s">
        <v>233</v>
      </c>
      <c r="C6" s="58">
        <v>0.16700000000000001</v>
      </c>
      <c r="D6" s="39" t="s">
        <v>29</v>
      </c>
      <c r="E6" s="64" t="s">
        <v>242</v>
      </c>
      <c r="G6" s="67" t="s">
        <v>34</v>
      </c>
      <c r="H6" s="67"/>
      <c r="I6" s="67"/>
      <c r="J6" s="67"/>
      <c r="K6" s="67"/>
      <c r="L6" s="67"/>
    </row>
    <row r="7" spans="1:13" x14ac:dyDescent="0.3">
      <c r="A7" s="60">
        <v>198</v>
      </c>
      <c r="B7" s="60" t="s">
        <v>234</v>
      </c>
      <c r="C7" s="58">
        <v>0</v>
      </c>
      <c r="D7" s="61" t="s">
        <v>29</v>
      </c>
      <c r="E7" s="59" t="s">
        <v>238</v>
      </c>
      <c r="G7" s="37" t="s">
        <v>36</v>
      </c>
      <c r="L7" s="39">
        <f>M4</f>
        <v>3</v>
      </c>
    </row>
    <row r="8" spans="1:13" x14ac:dyDescent="0.3">
      <c r="A8" s="37">
        <v>199</v>
      </c>
      <c r="B8" s="37" t="s">
        <v>235</v>
      </c>
      <c r="C8" s="58">
        <v>0.438</v>
      </c>
      <c r="D8" s="39" t="s">
        <v>29</v>
      </c>
      <c r="E8" s="62" t="s">
        <v>243</v>
      </c>
      <c r="G8" s="37" t="s">
        <v>38</v>
      </c>
      <c r="L8" s="39">
        <f>K4</f>
        <v>8</v>
      </c>
    </row>
    <row r="9" spans="1:13" x14ac:dyDescent="0.3">
      <c r="A9" s="60">
        <v>200</v>
      </c>
      <c r="B9" s="60" t="s">
        <v>236</v>
      </c>
      <c r="C9" s="58">
        <v>0</v>
      </c>
      <c r="D9" s="61" t="s">
        <v>29</v>
      </c>
      <c r="E9" s="59" t="s">
        <v>238</v>
      </c>
      <c r="G9" s="37" t="s">
        <v>40</v>
      </c>
      <c r="L9" s="68">
        <f>L7/L8</f>
        <v>0.375</v>
      </c>
    </row>
    <row r="10" spans="1:13" x14ac:dyDescent="0.3">
      <c r="G10" s="37" t="s">
        <v>42</v>
      </c>
      <c r="L10" s="69">
        <f>L9</f>
        <v>0.375</v>
      </c>
    </row>
    <row r="13" spans="1:13" x14ac:dyDescent="0.3">
      <c r="G13" s="70" t="s">
        <v>244</v>
      </c>
      <c r="H13" s="70"/>
    </row>
    <row r="14" spans="1:13" ht="58.2" x14ac:dyDescent="0.3">
      <c r="G14" s="71" t="s">
        <v>243</v>
      </c>
      <c r="H14" s="52" t="s">
        <v>251</v>
      </c>
    </row>
    <row r="15" spans="1:13" ht="69.599999999999994" x14ac:dyDescent="0.3">
      <c r="G15" s="72" t="s">
        <v>238</v>
      </c>
      <c r="H15" s="52" t="s">
        <v>252</v>
      </c>
    </row>
    <row r="16" spans="1:13" ht="69.599999999999994" x14ac:dyDescent="0.3">
      <c r="G16" s="64" t="s">
        <v>242</v>
      </c>
      <c r="H16" s="52" t="s">
        <v>253</v>
      </c>
    </row>
  </sheetData>
  <mergeCells count="3">
    <mergeCell ref="G1:M1"/>
    <mergeCell ref="G6:L6"/>
    <mergeCell ref="G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ABB5-37A9-464D-B039-0CC09E2F7D98}">
  <dimension ref="A1:M79"/>
  <sheetViews>
    <sheetView workbookViewId="0">
      <selection activeCell="J12" sqref="J12"/>
    </sheetView>
  </sheetViews>
  <sheetFormatPr defaultRowHeight="14.4" x14ac:dyDescent="0.3"/>
  <cols>
    <col min="2" max="2" width="19" customWidth="1"/>
    <col min="7" max="7" width="16.44140625" customWidth="1"/>
    <col min="8" max="8" width="32.33203125" customWidth="1"/>
    <col min="9" max="9" width="19.5546875" customWidth="1"/>
    <col min="10" max="10" width="18.44140625" customWidth="1"/>
    <col min="11" max="11" width="16.88671875" customWidth="1"/>
    <col min="12" max="12" width="22.6640625" customWidth="1"/>
    <col min="13" max="13" width="18.77734375" customWidth="1"/>
  </cols>
  <sheetData>
    <row r="1" spans="1:13" ht="39.6" x14ac:dyDescent="0.3">
      <c r="A1" s="55" t="s">
        <v>0</v>
      </c>
      <c r="B1" s="55" t="s">
        <v>1</v>
      </c>
      <c r="C1" s="55" t="s">
        <v>5</v>
      </c>
      <c r="D1" s="55" t="s">
        <v>2</v>
      </c>
      <c r="E1" s="56" t="s">
        <v>237</v>
      </c>
      <c r="G1" s="57" t="s">
        <v>13</v>
      </c>
      <c r="H1" s="57"/>
      <c r="I1" s="57"/>
      <c r="J1" s="57"/>
      <c r="K1" s="57"/>
      <c r="L1" s="57"/>
      <c r="M1" s="57"/>
    </row>
    <row r="2" spans="1:13" ht="39.6" x14ac:dyDescent="0.3">
      <c r="A2" s="37">
        <v>115</v>
      </c>
      <c r="B2" s="37" t="s">
        <v>151</v>
      </c>
      <c r="C2" s="58">
        <v>0.95799999999999996</v>
      </c>
      <c r="D2" s="39" t="s">
        <v>27</v>
      </c>
      <c r="E2" s="73" t="s">
        <v>243</v>
      </c>
      <c r="G2" s="55" t="s">
        <v>17</v>
      </c>
      <c r="H2" s="55" t="s">
        <v>239</v>
      </c>
      <c r="I2" s="55" t="s">
        <v>240</v>
      </c>
      <c r="J2" s="55" t="s">
        <v>241</v>
      </c>
      <c r="K2" s="55" t="s">
        <v>20</v>
      </c>
      <c r="L2" s="55" t="s">
        <v>21</v>
      </c>
      <c r="M2" s="55" t="s">
        <v>22</v>
      </c>
    </row>
    <row r="3" spans="1:13" x14ac:dyDescent="0.3">
      <c r="A3" s="60">
        <v>116</v>
      </c>
      <c r="B3" s="60" t="s">
        <v>152</v>
      </c>
      <c r="C3" s="58">
        <v>0.81200000000000006</v>
      </c>
      <c r="D3" s="61" t="s">
        <v>27</v>
      </c>
      <c r="E3" s="74" t="s">
        <v>242</v>
      </c>
      <c r="G3" s="39" t="s">
        <v>27</v>
      </c>
      <c r="H3" s="37">
        <f>SUMPRODUCT(($D$2:$D$79=G3)*($C$2:$C$79&gt;=0.863))</f>
        <v>36</v>
      </c>
      <c r="I3" s="37">
        <f>SUMPRODUCT(($D$2:$D$79=G3)*($C$2:$C$79&gt;=0.583)*($C$2:$C$79&lt;=0.722))</f>
        <v>13</v>
      </c>
      <c r="J3" s="37">
        <f>SUMPRODUCT(($D$2:$D$79=G3)*($C$2:$C$79&gt;=0.723)*($C$2:$C$79&lt;=0.862))</f>
        <v>29</v>
      </c>
      <c r="K3" s="39">
        <f>SUM(H3:J3)</f>
        <v>78</v>
      </c>
      <c r="L3" s="39" t="str">
        <f>IF(MAX(H3:J3)=H3, "Patuh", IF(MAX(H3:J3)=I3, "Kurang Patuh", "Tidak Patuh"))</f>
        <v>Patuh</v>
      </c>
      <c r="M3" s="63">
        <f>MAX(H3:J3)</f>
        <v>36</v>
      </c>
    </row>
    <row r="4" spans="1:13" x14ac:dyDescent="0.3">
      <c r="A4" s="37">
        <v>117</v>
      </c>
      <c r="B4" s="37" t="s">
        <v>153</v>
      </c>
      <c r="C4" s="58">
        <v>0.97899999999999998</v>
      </c>
      <c r="D4" s="39" t="s">
        <v>27</v>
      </c>
      <c r="E4" s="73" t="s">
        <v>243</v>
      </c>
      <c r="G4" s="65" t="s">
        <v>20</v>
      </c>
      <c r="H4" s="65">
        <f>SUM(H3:H3)</f>
        <v>36</v>
      </c>
      <c r="I4" s="65">
        <f>SUM(I3:I3)</f>
        <v>13</v>
      </c>
      <c r="J4" s="65">
        <f>SUM(J3:J3)</f>
        <v>29</v>
      </c>
      <c r="K4" s="65">
        <f>SUM(K3:K3)</f>
        <v>78</v>
      </c>
      <c r="L4" s="39" t="s">
        <v>31</v>
      </c>
      <c r="M4" s="65">
        <f>SUM(M3:M3)</f>
        <v>36</v>
      </c>
    </row>
    <row r="5" spans="1:13" x14ac:dyDescent="0.3">
      <c r="A5" s="60">
        <v>118</v>
      </c>
      <c r="B5" s="60" t="s">
        <v>154</v>
      </c>
      <c r="C5" s="58">
        <v>1</v>
      </c>
      <c r="D5" s="61" t="s">
        <v>27</v>
      </c>
      <c r="E5" s="73" t="s">
        <v>243</v>
      </c>
    </row>
    <row r="6" spans="1:13" x14ac:dyDescent="0.3">
      <c r="A6" s="37">
        <v>119</v>
      </c>
      <c r="B6" s="37" t="s">
        <v>155</v>
      </c>
      <c r="C6" s="58">
        <v>0.97899999999999998</v>
      </c>
      <c r="D6" s="39" t="s">
        <v>27</v>
      </c>
      <c r="E6" s="73" t="s">
        <v>243</v>
      </c>
      <c r="G6" s="67" t="s">
        <v>34</v>
      </c>
      <c r="H6" s="67"/>
      <c r="I6" s="67"/>
      <c r="J6" s="67"/>
      <c r="K6" s="67"/>
      <c r="L6" s="67"/>
    </row>
    <row r="7" spans="1:13" x14ac:dyDescent="0.3">
      <c r="A7" s="60">
        <v>120</v>
      </c>
      <c r="B7" s="60" t="s">
        <v>156</v>
      </c>
      <c r="C7" s="58">
        <v>0.79200000000000004</v>
      </c>
      <c r="D7" s="61" t="s">
        <v>27</v>
      </c>
      <c r="E7" s="74" t="s">
        <v>242</v>
      </c>
      <c r="G7" s="37" t="s">
        <v>36</v>
      </c>
      <c r="L7" s="39">
        <f>M4</f>
        <v>36</v>
      </c>
    </row>
    <row r="8" spans="1:13" x14ac:dyDescent="0.3">
      <c r="A8" s="37">
        <v>121</v>
      </c>
      <c r="B8" s="37" t="s">
        <v>157</v>
      </c>
      <c r="C8" s="58">
        <v>0.93799999999999994</v>
      </c>
      <c r="D8" s="39" t="s">
        <v>27</v>
      </c>
      <c r="E8" s="73" t="s">
        <v>243</v>
      </c>
      <c r="G8" s="37" t="s">
        <v>38</v>
      </c>
      <c r="L8" s="39">
        <f>K4</f>
        <v>78</v>
      </c>
    </row>
    <row r="9" spans="1:13" x14ac:dyDescent="0.3">
      <c r="A9" s="60">
        <v>122</v>
      </c>
      <c r="B9" s="60" t="s">
        <v>158</v>
      </c>
      <c r="C9" s="58">
        <v>0.72899999999999998</v>
      </c>
      <c r="D9" s="61" t="s">
        <v>27</v>
      </c>
      <c r="E9" s="74" t="s">
        <v>242</v>
      </c>
      <c r="G9" s="37" t="s">
        <v>40</v>
      </c>
      <c r="L9" s="68">
        <f>L7/L8</f>
        <v>0.46153846153846156</v>
      </c>
    </row>
    <row r="10" spans="1:13" x14ac:dyDescent="0.3">
      <c r="A10" s="37">
        <v>123</v>
      </c>
      <c r="B10" s="37" t="s">
        <v>159</v>
      </c>
      <c r="C10" s="58">
        <v>0.66700000000000004</v>
      </c>
      <c r="D10" s="39" t="s">
        <v>27</v>
      </c>
      <c r="E10" s="75" t="s">
        <v>238</v>
      </c>
      <c r="G10" s="37" t="s">
        <v>42</v>
      </c>
      <c r="L10" s="69">
        <f>L9</f>
        <v>0.46153846153846156</v>
      </c>
    </row>
    <row r="11" spans="1:13" x14ac:dyDescent="0.3">
      <c r="A11" s="60">
        <v>124</v>
      </c>
      <c r="B11" s="60" t="s">
        <v>160</v>
      </c>
      <c r="C11" s="58">
        <v>0.72899999999999998</v>
      </c>
      <c r="D11" s="61" t="s">
        <v>27</v>
      </c>
      <c r="E11" s="74" t="s">
        <v>242</v>
      </c>
    </row>
    <row r="12" spans="1:13" x14ac:dyDescent="0.3">
      <c r="A12" s="37">
        <v>125</v>
      </c>
      <c r="B12" s="37" t="s">
        <v>161</v>
      </c>
      <c r="C12" s="58">
        <v>0.77100000000000002</v>
      </c>
      <c r="D12" s="39" t="s">
        <v>27</v>
      </c>
      <c r="E12" s="74" t="s">
        <v>242</v>
      </c>
    </row>
    <row r="13" spans="1:13" x14ac:dyDescent="0.3">
      <c r="A13" s="60">
        <v>126</v>
      </c>
      <c r="B13" s="60" t="s">
        <v>162</v>
      </c>
      <c r="C13" s="58">
        <v>0.95799999999999996</v>
      </c>
      <c r="D13" s="61" t="s">
        <v>27</v>
      </c>
      <c r="E13" s="73" t="s">
        <v>243</v>
      </c>
      <c r="G13" s="70" t="s">
        <v>244</v>
      </c>
      <c r="H13" s="70"/>
    </row>
    <row r="14" spans="1:13" ht="18.600000000000001" customHeight="1" x14ac:dyDescent="0.3">
      <c r="A14" s="37">
        <v>127</v>
      </c>
      <c r="B14" s="37" t="s">
        <v>163</v>
      </c>
      <c r="C14" s="58">
        <v>0.91700000000000004</v>
      </c>
      <c r="D14" s="39" t="s">
        <v>27</v>
      </c>
      <c r="E14" s="73" t="s">
        <v>243</v>
      </c>
      <c r="G14" s="76" t="s">
        <v>243</v>
      </c>
      <c r="H14" s="52" t="s">
        <v>254</v>
      </c>
    </row>
    <row r="15" spans="1:13" ht="22.8" customHeight="1" x14ac:dyDescent="0.3">
      <c r="A15" s="60">
        <v>128</v>
      </c>
      <c r="B15" s="60" t="s">
        <v>164</v>
      </c>
      <c r="C15" s="58">
        <v>0.93799999999999994</v>
      </c>
      <c r="D15" s="61" t="s">
        <v>27</v>
      </c>
      <c r="E15" s="73" t="s">
        <v>243</v>
      </c>
      <c r="G15" s="77" t="s">
        <v>238</v>
      </c>
      <c r="H15" s="52" t="s">
        <v>255</v>
      </c>
    </row>
    <row r="16" spans="1:13" ht="19.2" customHeight="1" x14ac:dyDescent="0.3">
      <c r="A16" s="37">
        <v>129</v>
      </c>
      <c r="B16" s="37" t="s">
        <v>165</v>
      </c>
      <c r="C16" s="58">
        <v>0.72899999999999998</v>
      </c>
      <c r="D16" s="39" t="s">
        <v>27</v>
      </c>
      <c r="E16" s="74" t="s">
        <v>242</v>
      </c>
      <c r="G16" s="78" t="s">
        <v>242</v>
      </c>
      <c r="H16" s="52" t="s">
        <v>256</v>
      </c>
    </row>
    <row r="17" spans="1:5" x14ac:dyDescent="0.3">
      <c r="A17" s="60">
        <v>130</v>
      </c>
      <c r="B17" s="60" t="s">
        <v>166</v>
      </c>
      <c r="C17" s="58">
        <v>0.95799999999999996</v>
      </c>
      <c r="D17" s="61" t="s">
        <v>27</v>
      </c>
      <c r="E17" s="73" t="s">
        <v>243</v>
      </c>
    </row>
    <row r="18" spans="1:5" x14ac:dyDescent="0.3">
      <c r="A18" s="37">
        <v>131</v>
      </c>
      <c r="B18" s="37" t="s">
        <v>167</v>
      </c>
      <c r="C18" s="58">
        <v>0.91700000000000004</v>
      </c>
      <c r="D18" s="39" t="s">
        <v>27</v>
      </c>
      <c r="E18" s="73" t="s">
        <v>243</v>
      </c>
    </row>
    <row r="19" spans="1:5" x14ac:dyDescent="0.3">
      <c r="A19" s="60">
        <v>132</v>
      </c>
      <c r="B19" s="60" t="s">
        <v>168</v>
      </c>
      <c r="C19" s="58">
        <v>0.77100000000000002</v>
      </c>
      <c r="D19" s="61" t="s">
        <v>27</v>
      </c>
      <c r="E19" s="74" t="s">
        <v>242</v>
      </c>
    </row>
    <row r="20" spans="1:5" x14ac:dyDescent="0.3">
      <c r="A20" s="37">
        <v>133</v>
      </c>
      <c r="B20" s="37" t="s">
        <v>169</v>
      </c>
      <c r="C20" s="58">
        <v>0.85399999999999998</v>
      </c>
      <c r="D20" s="39" t="s">
        <v>27</v>
      </c>
      <c r="E20" s="74" t="s">
        <v>242</v>
      </c>
    </row>
    <row r="21" spans="1:5" x14ac:dyDescent="0.3">
      <c r="A21" s="60">
        <v>134</v>
      </c>
      <c r="B21" s="60" t="s">
        <v>170</v>
      </c>
      <c r="C21" s="58">
        <v>0.875</v>
      </c>
      <c r="D21" s="61" t="s">
        <v>27</v>
      </c>
      <c r="E21" s="73" t="s">
        <v>243</v>
      </c>
    </row>
    <row r="22" spans="1:5" x14ac:dyDescent="0.3">
      <c r="A22" s="37">
        <v>135</v>
      </c>
      <c r="B22" s="37" t="s">
        <v>171</v>
      </c>
      <c r="C22" s="58">
        <v>0.66700000000000004</v>
      </c>
      <c r="D22" s="39" t="s">
        <v>27</v>
      </c>
      <c r="E22" s="75" t="s">
        <v>238</v>
      </c>
    </row>
    <row r="23" spans="1:5" x14ac:dyDescent="0.3">
      <c r="A23" s="60">
        <v>136</v>
      </c>
      <c r="B23" s="60" t="s">
        <v>172</v>
      </c>
      <c r="C23" s="58">
        <v>0.97899999999999998</v>
      </c>
      <c r="D23" s="61" t="s">
        <v>27</v>
      </c>
      <c r="E23" s="73" t="s">
        <v>243</v>
      </c>
    </row>
    <row r="24" spans="1:5" x14ac:dyDescent="0.3">
      <c r="A24" s="37">
        <v>137</v>
      </c>
      <c r="B24" s="37" t="s">
        <v>173</v>
      </c>
      <c r="C24" s="58">
        <v>0.77100000000000002</v>
      </c>
      <c r="D24" s="39" t="s">
        <v>27</v>
      </c>
      <c r="E24" s="74" t="s">
        <v>242</v>
      </c>
    </row>
    <row r="25" spans="1:5" x14ac:dyDescent="0.3">
      <c r="A25" s="60">
        <v>138</v>
      </c>
      <c r="B25" s="60" t="s">
        <v>174</v>
      </c>
      <c r="C25" s="58">
        <v>0.89600000000000002</v>
      </c>
      <c r="D25" s="61" t="s">
        <v>27</v>
      </c>
      <c r="E25" s="73" t="s">
        <v>243</v>
      </c>
    </row>
    <row r="26" spans="1:5" x14ac:dyDescent="0.3">
      <c r="A26" s="37">
        <v>139</v>
      </c>
      <c r="B26" s="37" t="s">
        <v>175</v>
      </c>
      <c r="C26" s="58">
        <v>0.70799999999999996</v>
      </c>
      <c r="D26" s="39" t="s">
        <v>27</v>
      </c>
      <c r="E26" s="75" t="s">
        <v>238</v>
      </c>
    </row>
    <row r="27" spans="1:5" x14ac:dyDescent="0.3">
      <c r="A27" s="60">
        <v>140</v>
      </c>
      <c r="B27" s="60" t="s">
        <v>176</v>
      </c>
      <c r="C27" s="58">
        <v>0.95799999999999996</v>
      </c>
      <c r="D27" s="61" t="s">
        <v>27</v>
      </c>
      <c r="E27" s="73" t="s">
        <v>243</v>
      </c>
    </row>
    <row r="28" spans="1:5" x14ac:dyDescent="0.3">
      <c r="A28" s="37">
        <v>141</v>
      </c>
      <c r="B28" s="37" t="s">
        <v>177</v>
      </c>
      <c r="C28" s="58">
        <v>0.77100000000000002</v>
      </c>
      <c r="D28" s="39" t="s">
        <v>27</v>
      </c>
      <c r="E28" s="74" t="s">
        <v>242</v>
      </c>
    </row>
    <row r="29" spans="1:5" x14ac:dyDescent="0.3">
      <c r="A29" s="60">
        <v>142</v>
      </c>
      <c r="B29" s="60" t="s">
        <v>178</v>
      </c>
      <c r="C29" s="58">
        <v>1</v>
      </c>
      <c r="D29" s="61" t="s">
        <v>27</v>
      </c>
      <c r="E29" s="73" t="s">
        <v>243</v>
      </c>
    </row>
    <row r="30" spans="1:5" x14ac:dyDescent="0.3">
      <c r="A30" s="37">
        <v>143</v>
      </c>
      <c r="B30" s="37" t="s">
        <v>179</v>
      </c>
      <c r="C30" s="58">
        <v>0.66700000000000004</v>
      </c>
      <c r="D30" s="39" t="s">
        <v>27</v>
      </c>
      <c r="E30" s="75" t="s">
        <v>238</v>
      </c>
    </row>
    <row r="31" spans="1:5" x14ac:dyDescent="0.3">
      <c r="A31" s="60">
        <v>144</v>
      </c>
      <c r="B31" s="60" t="s">
        <v>180</v>
      </c>
      <c r="C31" s="58">
        <v>0.85399999999999998</v>
      </c>
      <c r="D31" s="61" t="s">
        <v>27</v>
      </c>
      <c r="E31" s="74" t="s">
        <v>242</v>
      </c>
    </row>
    <row r="32" spans="1:5" x14ac:dyDescent="0.3">
      <c r="A32" s="37">
        <v>145</v>
      </c>
      <c r="B32" s="37" t="s">
        <v>181</v>
      </c>
      <c r="C32" s="58">
        <v>0.75</v>
      </c>
      <c r="D32" s="39" t="s">
        <v>27</v>
      </c>
      <c r="E32" s="74" t="s">
        <v>242</v>
      </c>
    </row>
    <row r="33" spans="1:5" x14ac:dyDescent="0.3">
      <c r="A33" s="60">
        <v>146</v>
      </c>
      <c r="B33" s="60" t="s">
        <v>182</v>
      </c>
      <c r="C33" s="58">
        <v>0.97899999999999998</v>
      </c>
      <c r="D33" s="61" t="s">
        <v>27</v>
      </c>
      <c r="E33" s="73" t="s">
        <v>243</v>
      </c>
    </row>
    <row r="34" spans="1:5" x14ac:dyDescent="0.3">
      <c r="A34" s="37">
        <v>147</v>
      </c>
      <c r="B34" s="37" t="s">
        <v>183</v>
      </c>
      <c r="C34" s="58">
        <v>0.95799999999999996</v>
      </c>
      <c r="D34" s="39" t="s">
        <v>27</v>
      </c>
      <c r="E34" s="73" t="s">
        <v>243</v>
      </c>
    </row>
    <row r="35" spans="1:5" x14ac:dyDescent="0.3">
      <c r="A35" s="60">
        <v>148</v>
      </c>
      <c r="B35" s="60" t="s">
        <v>184</v>
      </c>
      <c r="C35" s="58">
        <v>0.81200000000000006</v>
      </c>
      <c r="D35" s="61" t="s">
        <v>27</v>
      </c>
      <c r="E35" s="74" t="s">
        <v>242</v>
      </c>
    </row>
    <row r="36" spans="1:5" x14ac:dyDescent="0.3">
      <c r="A36" s="37">
        <v>149</v>
      </c>
      <c r="B36" s="37" t="s">
        <v>185</v>
      </c>
      <c r="C36" s="58">
        <v>0.93799999999999994</v>
      </c>
      <c r="D36" s="39" t="s">
        <v>27</v>
      </c>
      <c r="E36" s="73" t="s">
        <v>243</v>
      </c>
    </row>
    <row r="37" spans="1:5" x14ac:dyDescent="0.3">
      <c r="A37" s="60">
        <v>150</v>
      </c>
      <c r="B37" s="60" t="s">
        <v>186</v>
      </c>
      <c r="C37" s="58">
        <v>0.875</v>
      </c>
      <c r="D37" s="61" t="s">
        <v>27</v>
      </c>
      <c r="E37" s="73" t="s">
        <v>243</v>
      </c>
    </row>
    <row r="38" spans="1:5" x14ac:dyDescent="0.3">
      <c r="A38" s="37">
        <v>151</v>
      </c>
      <c r="B38" s="37" t="s">
        <v>187</v>
      </c>
      <c r="C38" s="58">
        <v>0.68799999999999994</v>
      </c>
      <c r="D38" s="39" t="s">
        <v>27</v>
      </c>
      <c r="E38" s="75" t="s">
        <v>238</v>
      </c>
    </row>
    <row r="39" spans="1:5" x14ac:dyDescent="0.3">
      <c r="A39" s="60">
        <v>152</v>
      </c>
      <c r="B39" s="60" t="s">
        <v>188</v>
      </c>
      <c r="C39" s="58">
        <v>0.97899999999999998</v>
      </c>
      <c r="D39" s="61" t="s">
        <v>27</v>
      </c>
      <c r="E39" s="73" t="s">
        <v>243</v>
      </c>
    </row>
    <row r="40" spans="1:5" x14ac:dyDescent="0.3">
      <c r="A40" s="37">
        <v>153</v>
      </c>
      <c r="B40" s="37" t="s">
        <v>189</v>
      </c>
      <c r="C40" s="58">
        <v>0.77100000000000002</v>
      </c>
      <c r="D40" s="39" t="s">
        <v>27</v>
      </c>
      <c r="E40" s="74" t="s">
        <v>242</v>
      </c>
    </row>
    <row r="41" spans="1:5" x14ac:dyDescent="0.3">
      <c r="A41" s="60">
        <v>154</v>
      </c>
      <c r="B41" s="60" t="s">
        <v>190</v>
      </c>
      <c r="C41" s="58">
        <v>0.79200000000000004</v>
      </c>
      <c r="D41" s="61" t="s">
        <v>27</v>
      </c>
      <c r="E41" s="74" t="s">
        <v>242</v>
      </c>
    </row>
    <row r="42" spans="1:5" x14ac:dyDescent="0.3">
      <c r="A42" s="37">
        <v>155</v>
      </c>
      <c r="B42" s="37" t="s">
        <v>191</v>
      </c>
      <c r="C42" s="58">
        <v>0.97899999999999998</v>
      </c>
      <c r="D42" s="39" t="s">
        <v>27</v>
      </c>
      <c r="E42" s="73" t="s">
        <v>243</v>
      </c>
    </row>
    <row r="43" spans="1:5" x14ac:dyDescent="0.3">
      <c r="A43" s="60">
        <v>156</v>
      </c>
      <c r="B43" s="60" t="s">
        <v>192</v>
      </c>
      <c r="C43" s="58">
        <v>0.72899999999999998</v>
      </c>
      <c r="D43" s="61" t="s">
        <v>27</v>
      </c>
      <c r="E43" s="74" t="s">
        <v>242</v>
      </c>
    </row>
    <row r="44" spans="1:5" x14ac:dyDescent="0.3">
      <c r="A44" s="37">
        <v>157</v>
      </c>
      <c r="B44" s="37" t="s">
        <v>193</v>
      </c>
      <c r="C44" s="58">
        <v>0.93799999999999994</v>
      </c>
      <c r="D44" s="39" t="s">
        <v>27</v>
      </c>
      <c r="E44" s="73" t="s">
        <v>243</v>
      </c>
    </row>
    <row r="45" spans="1:5" x14ac:dyDescent="0.3">
      <c r="A45" s="60">
        <v>158</v>
      </c>
      <c r="B45" s="60" t="s">
        <v>194</v>
      </c>
      <c r="C45" s="58">
        <v>0.93799999999999994</v>
      </c>
      <c r="D45" s="61" t="s">
        <v>27</v>
      </c>
      <c r="E45" s="73" t="s">
        <v>243</v>
      </c>
    </row>
    <row r="46" spans="1:5" x14ac:dyDescent="0.3">
      <c r="A46" s="37">
        <v>159</v>
      </c>
      <c r="B46" s="37" t="s">
        <v>195</v>
      </c>
      <c r="C46" s="58">
        <v>0.68799999999999994</v>
      </c>
      <c r="D46" s="39" t="s">
        <v>27</v>
      </c>
      <c r="E46" s="75" t="s">
        <v>238</v>
      </c>
    </row>
    <row r="47" spans="1:5" x14ac:dyDescent="0.3">
      <c r="A47" s="60">
        <v>160</v>
      </c>
      <c r="B47" s="60" t="s">
        <v>196</v>
      </c>
      <c r="C47" s="58">
        <v>0.72899999999999998</v>
      </c>
      <c r="D47" s="61" t="s">
        <v>27</v>
      </c>
      <c r="E47" s="74" t="s">
        <v>242</v>
      </c>
    </row>
    <row r="48" spans="1:5" x14ac:dyDescent="0.3">
      <c r="A48" s="37">
        <v>161</v>
      </c>
      <c r="B48" s="37" t="s">
        <v>197</v>
      </c>
      <c r="C48" s="58">
        <v>0.75</v>
      </c>
      <c r="D48" s="39" t="s">
        <v>27</v>
      </c>
      <c r="E48" s="74" t="s">
        <v>242</v>
      </c>
    </row>
    <row r="49" spans="1:5" x14ac:dyDescent="0.3">
      <c r="A49" s="60">
        <v>162</v>
      </c>
      <c r="B49" s="60" t="s">
        <v>198</v>
      </c>
      <c r="C49" s="58">
        <v>0.79200000000000004</v>
      </c>
      <c r="D49" s="61" t="s">
        <v>27</v>
      </c>
      <c r="E49" s="74" t="s">
        <v>242</v>
      </c>
    </row>
    <row r="50" spans="1:5" x14ac:dyDescent="0.3">
      <c r="A50" s="37">
        <v>163</v>
      </c>
      <c r="B50" s="37" t="s">
        <v>199</v>
      </c>
      <c r="C50" s="58">
        <v>0.66700000000000004</v>
      </c>
      <c r="D50" s="39" t="s">
        <v>27</v>
      </c>
      <c r="E50" s="75" t="s">
        <v>238</v>
      </c>
    </row>
    <row r="51" spans="1:5" x14ac:dyDescent="0.3">
      <c r="A51" s="60">
        <v>164</v>
      </c>
      <c r="B51" s="60" t="s">
        <v>200</v>
      </c>
      <c r="C51" s="58">
        <v>0.75</v>
      </c>
      <c r="D51" s="61" t="s">
        <v>27</v>
      </c>
      <c r="E51" s="74" t="s">
        <v>242</v>
      </c>
    </row>
    <row r="52" spans="1:5" x14ac:dyDescent="0.3">
      <c r="A52" s="37">
        <v>165</v>
      </c>
      <c r="B52" s="37" t="s">
        <v>201</v>
      </c>
      <c r="C52" s="58">
        <v>0.93799999999999994</v>
      </c>
      <c r="D52" s="39" t="s">
        <v>27</v>
      </c>
      <c r="E52" s="73" t="s">
        <v>243</v>
      </c>
    </row>
    <row r="53" spans="1:5" x14ac:dyDescent="0.3">
      <c r="A53" s="60">
        <v>166</v>
      </c>
      <c r="B53" s="60" t="s">
        <v>202</v>
      </c>
      <c r="C53" s="58">
        <v>0.77100000000000002</v>
      </c>
      <c r="D53" s="61" t="s">
        <v>27</v>
      </c>
      <c r="E53" s="74" t="s">
        <v>242</v>
      </c>
    </row>
    <row r="54" spans="1:5" x14ac:dyDescent="0.3">
      <c r="A54" s="37">
        <v>167</v>
      </c>
      <c r="B54" s="37" t="s">
        <v>203</v>
      </c>
      <c r="C54" s="58">
        <v>0.93799999999999994</v>
      </c>
      <c r="D54" s="39" t="s">
        <v>27</v>
      </c>
      <c r="E54" s="73" t="s">
        <v>243</v>
      </c>
    </row>
    <row r="55" spans="1:5" x14ac:dyDescent="0.3">
      <c r="A55" s="60">
        <v>168</v>
      </c>
      <c r="B55" s="60" t="s">
        <v>204</v>
      </c>
      <c r="C55" s="58">
        <v>0.68799999999999994</v>
      </c>
      <c r="D55" s="61" t="s">
        <v>27</v>
      </c>
      <c r="E55" s="75" t="s">
        <v>238</v>
      </c>
    </row>
    <row r="56" spans="1:5" x14ac:dyDescent="0.3">
      <c r="A56" s="37">
        <v>169</v>
      </c>
      <c r="B56" s="37" t="s">
        <v>205</v>
      </c>
      <c r="C56" s="58">
        <v>1</v>
      </c>
      <c r="D56" s="39" t="s">
        <v>27</v>
      </c>
      <c r="E56" s="73" t="s">
        <v>243</v>
      </c>
    </row>
    <row r="57" spans="1:5" x14ac:dyDescent="0.3">
      <c r="A57" s="60">
        <v>170</v>
      </c>
      <c r="B57" s="60" t="s">
        <v>206</v>
      </c>
      <c r="C57" s="58">
        <v>0.75</v>
      </c>
      <c r="D57" s="61" t="s">
        <v>27</v>
      </c>
      <c r="E57" s="74" t="s">
        <v>242</v>
      </c>
    </row>
    <row r="58" spans="1:5" x14ac:dyDescent="0.3">
      <c r="A58" s="37">
        <v>171</v>
      </c>
      <c r="B58" s="37" t="s">
        <v>207</v>
      </c>
      <c r="C58" s="58">
        <v>0.97899999999999998</v>
      </c>
      <c r="D58" s="39" t="s">
        <v>27</v>
      </c>
      <c r="E58" s="73" t="s">
        <v>243</v>
      </c>
    </row>
    <row r="59" spans="1:5" x14ac:dyDescent="0.3">
      <c r="A59" s="60">
        <v>172</v>
      </c>
      <c r="B59" s="60" t="s">
        <v>208</v>
      </c>
      <c r="C59" s="58">
        <v>0.95799999999999996</v>
      </c>
      <c r="D59" s="61" t="s">
        <v>27</v>
      </c>
      <c r="E59" s="73" t="s">
        <v>243</v>
      </c>
    </row>
    <row r="60" spans="1:5" x14ac:dyDescent="0.3">
      <c r="A60" s="37">
        <v>173</v>
      </c>
      <c r="B60" s="37" t="s">
        <v>209</v>
      </c>
      <c r="C60" s="58">
        <v>0.89600000000000002</v>
      </c>
      <c r="D60" s="39" t="s">
        <v>27</v>
      </c>
      <c r="E60" s="73" t="s">
        <v>243</v>
      </c>
    </row>
    <row r="61" spans="1:5" x14ac:dyDescent="0.3">
      <c r="A61" s="60">
        <v>174</v>
      </c>
      <c r="B61" s="60" t="s">
        <v>210</v>
      </c>
      <c r="C61" s="58">
        <v>0.81200000000000006</v>
      </c>
      <c r="D61" s="61" t="s">
        <v>27</v>
      </c>
      <c r="E61" s="74" t="s">
        <v>242</v>
      </c>
    </row>
    <row r="62" spans="1:5" x14ac:dyDescent="0.3">
      <c r="A62" s="37">
        <v>175</v>
      </c>
      <c r="B62" s="37" t="s">
        <v>211</v>
      </c>
      <c r="C62" s="58">
        <v>0.58299999999999996</v>
      </c>
      <c r="D62" s="39" t="s">
        <v>27</v>
      </c>
      <c r="E62" s="75" t="s">
        <v>238</v>
      </c>
    </row>
    <row r="63" spans="1:5" x14ac:dyDescent="0.3">
      <c r="A63" s="60">
        <v>176</v>
      </c>
      <c r="B63" s="60" t="s">
        <v>212</v>
      </c>
      <c r="C63" s="58">
        <v>0.66700000000000004</v>
      </c>
      <c r="D63" s="61" t="s">
        <v>27</v>
      </c>
      <c r="E63" s="75" t="s">
        <v>238</v>
      </c>
    </row>
    <row r="64" spans="1:5" x14ac:dyDescent="0.3">
      <c r="A64" s="37">
        <v>177</v>
      </c>
      <c r="B64" s="37" t="s">
        <v>213</v>
      </c>
      <c r="C64" s="58">
        <v>0.75</v>
      </c>
      <c r="D64" s="39" t="s">
        <v>27</v>
      </c>
      <c r="E64" s="74" t="s">
        <v>242</v>
      </c>
    </row>
    <row r="65" spans="1:5" x14ac:dyDescent="0.3">
      <c r="A65" s="60">
        <v>178</v>
      </c>
      <c r="B65" s="60" t="s">
        <v>214</v>
      </c>
      <c r="C65" s="58">
        <v>0.91700000000000004</v>
      </c>
      <c r="D65" s="61" t="s">
        <v>27</v>
      </c>
      <c r="E65" s="73" t="s">
        <v>243</v>
      </c>
    </row>
    <row r="66" spans="1:5" x14ac:dyDescent="0.3">
      <c r="A66" s="37">
        <v>179</v>
      </c>
      <c r="B66" s="37" t="s">
        <v>215</v>
      </c>
      <c r="C66" s="58">
        <v>0.97899999999999998</v>
      </c>
      <c r="D66" s="39" t="s">
        <v>27</v>
      </c>
      <c r="E66" s="73" t="s">
        <v>243</v>
      </c>
    </row>
    <row r="67" spans="1:5" x14ac:dyDescent="0.3">
      <c r="A67" s="60">
        <v>180</v>
      </c>
      <c r="B67" s="60" t="s">
        <v>216</v>
      </c>
      <c r="C67" s="58">
        <v>0.70799999999999996</v>
      </c>
      <c r="D67" s="61" t="s">
        <v>27</v>
      </c>
      <c r="E67" s="75" t="s">
        <v>238</v>
      </c>
    </row>
    <row r="68" spans="1:5" x14ac:dyDescent="0.3">
      <c r="A68" s="37">
        <v>181</v>
      </c>
      <c r="B68" s="37" t="s">
        <v>217</v>
      </c>
      <c r="C68" s="58">
        <v>0.91700000000000004</v>
      </c>
      <c r="D68" s="39" t="s">
        <v>27</v>
      </c>
      <c r="E68" s="73" t="s">
        <v>243</v>
      </c>
    </row>
    <row r="69" spans="1:5" x14ac:dyDescent="0.3">
      <c r="A69" s="60">
        <v>182</v>
      </c>
      <c r="B69" s="60" t="s">
        <v>218</v>
      </c>
      <c r="C69" s="58">
        <v>0.75</v>
      </c>
      <c r="D69" s="61" t="s">
        <v>27</v>
      </c>
      <c r="E69" s="74" t="s">
        <v>242</v>
      </c>
    </row>
    <row r="70" spans="1:5" x14ac:dyDescent="0.3">
      <c r="A70" s="37">
        <v>183</v>
      </c>
      <c r="B70" s="37" t="s">
        <v>219</v>
      </c>
      <c r="C70" s="58">
        <v>0.93799999999999994</v>
      </c>
      <c r="D70" s="39" t="s">
        <v>27</v>
      </c>
      <c r="E70" s="73" t="s">
        <v>243</v>
      </c>
    </row>
    <row r="71" spans="1:5" x14ac:dyDescent="0.3">
      <c r="A71" s="60">
        <v>184</v>
      </c>
      <c r="B71" s="60" t="s">
        <v>220</v>
      </c>
      <c r="C71" s="58">
        <v>0.81200000000000006</v>
      </c>
      <c r="D71" s="61" t="s">
        <v>27</v>
      </c>
      <c r="E71" s="74" t="s">
        <v>242</v>
      </c>
    </row>
    <row r="72" spans="1:5" x14ac:dyDescent="0.3">
      <c r="A72" s="37">
        <v>185</v>
      </c>
      <c r="B72" s="37" t="s">
        <v>221</v>
      </c>
      <c r="C72" s="58">
        <v>0.93799999999999994</v>
      </c>
      <c r="D72" s="39" t="s">
        <v>27</v>
      </c>
      <c r="E72" s="73" t="s">
        <v>243</v>
      </c>
    </row>
    <row r="73" spans="1:5" x14ac:dyDescent="0.3">
      <c r="A73" s="60">
        <v>186</v>
      </c>
      <c r="B73" s="60" t="s">
        <v>222</v>
      </c>
      <c r="C73" s="58">
        <v>0.68799999999999994</v>
      </c>
      <c r="D73" s="61" t="s">
        <v>27</v>
      </c>
      <c r="E73" s="75" t="s">
        <v>238</v>
      </c>
    </row>
    <row r="74" spans="1:5" x14ac:dyDescent="0.3">
      <c r="A74" s="37">
        <v>187</v>
      </c>
      <c r="B74" s="37" t="s">
        <v>223</v>
      </c>
      <c r="C74" s="58">
        <v>0.75</v>
      </c>
      <c r="D74" s="39" t="s">
        <v>27</v>
      </c>
      <c r="E74" s="74" t="s">
        <v>242</v>
      </c>
    </row>
    <row r="75" spans="1:5" x14ac:dyDescent="0.3">
      <c r="A75" s="60">
        <v>188</v>
      </c>
      <c r="B75" s="60" t="s">
        <v>224</v>
      </c>
      <c r="C75" s="58">
        <v>0.93799999999999994</v>
      </c>
      <c r="D75" s="61" t="s">
        <v>27</v>
      </c>
      <c r="E75" s="73" t="s">
        <v>243</v>
      </c>
    </row>
    <row r="76" spans="1:5" x14ac:dyDescent="0.3">
      <c r="A76" s="37">
        <v>189</v>
      </c>
      <c r="B76" s="37" t="s">
        <v>225</v>
      </c>
      <c r="C76" s="58">
        <v>0.79200000000000004</v>
      </c>
      <c r="D76" s="39" t="s">
        <v>27</v>
      </c>
      <c r="E76" s="74" t="s">
        <v>242</v>
      </c>
    </row>
    <row r="77" spans="1:5" x14ac:dyDescent="0.3">
      <c r="A77" s="60">
        <v>190</v>
      </c>
      <c r="B77" s="60" t="s">
        <v>226</v>
      </c>
      <c r="C77" s="58">
        <v>0.95799999999999996</v>
      </c>
      <c r="D77" s="61" t="s">
        <v>27</v>
      </c>
      <c r="E77" s="73" t="s">
        <v>243</v>
      </c>
    </row>
    <row r="78" spans="1:5" x14ac:dyDescent="0.3">
      <c r="A78" s="37">
        <v>191</v>
      </c>
      <c r="B78" s="37" t="s">
        <v>227</v>
      </c>
      <c r="C78" s="58">
        <v>0.70799999999999996</v>
      </c>
      <c r="D78" s="39" t="s">
        <v>27</v>
      </c>
      <c r="E78" s="75" t="s">
        <v>238</v>
      </c>
    </row>
    <row r="79" spans="1:5" x14ac:dyDescent="0.3">
      <c r="A79" s="60">
        <v>192</v>
      </c>
      <c r="B79" s="60" t="s">
        <v>228</v>
      </c>
      <c r="C79" s="58">
        <v>0.77100000000000002</v>
      </c>
      <c r="D79" s="61" t="s">
        <v>27</v>
      </c>
      <c r="E79" s="74" t="s">
        <v>242</v>
      </c>
    </row>
  </sheetData>
  <mergeCells count="3">
    <mergeCell ref="G1:M1"/>
    <mergeCell ref="G6:L6"/>
    <mergeCell ref="G13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CFB3-75B0-4208-A911-5ED43CB10656}">
  <dimension ref="A1:M71"/>
  <sheetViews>
    <sheetView workbookViewId="0">
      <selection activeCell="G22" sqref="G22"/>
    </sheetView>
  </sheetViews>
  <sheetFormatPr defaultRowHeight="14.4" x14ac:dyDescent="0.3"/>
  <cols>
    <col min="2" max="2" width="19" customWidth="1"/>
    <col min="7" max="7" width="16.5546875" customWidth="1"/>
    <col min="8" max="8" width="13.21875" customWidth="1"/>
    <col min="9" max="9" width="17.5546875" customWidth="1"/>
    <col min="10" max="10" width="14.5546875" customWidth="1"/>
    <col min="11" max="11" width="15.6640625" customWidth="1"/>
    <col min="12" max="12" width="27.6640625" customWidth="1"/>
    <col min="13" max="13" width="18.88671875" customWidth="1"/>
  </cols>
  <sheetData>
    <row r="1" spans="1:13" ht="39.6" x14ac:dyDescent="0.3">
      <c r="A1" s="34" t="s">
        <v>0</v>
      </c>
      <c r="B1" s="34" t="s">
        <v>1</v>
      </c>
      <c r="C1" s="34" t="s">
        <v>5</v>
      </c>
      <c r="D1" s="34" t="s">
        <v>2</v>
      </c>
      <c r="E1" s="35" t="s">
        <v>237</v>
      </c>
      <c r="G1" s="36" t="s">
        <v>13</v>
      </c>
      <c r="H1" s="23"/>
      <c r="I1" s="23"/>
      <c r="J1" s="23"/>
      <c r="K1" s="23"/>
      <c r="L1" s="23"/>
      <c r="M1" s="23"/>
    </row>
    <row r="2" spans="1:13" ht="19.2" customHeight="1" x14ac:dyDescent="0.3">
      <c r="A2" s="37">
        <v>45</v>
      </c>
      <c r="B2" s="37" t="s">
        <v>81</v>
      </c>
      <c r="C2" s="38">
        <v>0.68799999999999994</v>
      </c>
      <c r="D2" s="39" t="s">
        <v>25</v>
      </c>
      <c r="E2" s="40" t="s">
        <v>242</v>
      </c>
      <c r="G2" s="34" t="s">
        <v>17</v>
      </c>
      <c r="H2" s="34" t="s">
        <v>239</v>
      </c>
      <c r="I2" s="34" t="s">
        <v>240</v>
      </c>
      <c r="J2" s="34" t="s">
        <v>241</v>
      </c>
      <c r="K2" s="34" t="s">
        <v>20</v>
      </c>
      <c r="L2" s="34" t="s">
        <v>21</v>
      </c>
      <c r="M2" s="34" t="s">
        <v>22</v>
      </c>
    </row>
    <row r="3" spans="1:13" x14ac:dyDescent="0.3">
      <c r="A3" s="41">
        <v>46</v>
      </c>
      <c r="B3" s="41" t="s">
        <v>82</v>
      </c>
      <c r="C3" s="38">
        <v>0.83299999999999996</v>
      </c>
      <c r="D3" s="42" t="s">
        <v>25</v>
      </c>
      <c r="E3" s="43" t="s">
        <v>238</v>
      </c>
      <c r="G3" s="39" t="s">
        <v>25</v>
      </c>
      <c r="H3" s="37">
        <f>SUMPRODUCT(($D$2:$D$71=G3)*($C$2:$C$71&gt;=0.885))</f>
        <v>32</v>
      </c>
      <c r="I3" s="37">
        <f>SUMPRODUCT(($D$2:$D$71=G3)*($C$2:$C$71&gt;=0.76)*($C$2:$C$71&lt;0.885))</f>
        <v>14</v>
      </c>
      <c r="J3" s="37">
        <f>SUMPRODUCT(($D$2:$D$71=G3)*($C$2:$C$71&lt;0.76))</f>
        <v>24</v>
      </c>
      <c r="K3" s="39">
        <f>SUM(H3:J3)</f>
        <v>70</v>
      </c>
      <c r="L3" s="39" t="str">
        <f>IF(MAX(H3:J3)=H3, "Patuh", IF(MAX(H3:J3)=I3, "Kurang Patuh", "Tidak Patuh"))</f>
        <v>Patuh</v>
      </c>
      <c r="M3" s="44">
        <f>MAX(H3:J3)</f>
        <v>32</v>
      </c>
    </row>
    <row r="4" spans="1:13" x14ac:dyDescent="0.3">
      <c r="A4" s="37">
        <v>47</v>
      </c>
      <c r="B4" s="37" t="s">
        <v>83</v>
      </c>
      <c r="C4" s="38">
        <v>0.875</v>
      </c>
      <c r="D4" s="39" t="s">
        <v>25</v>
      </c>
      <c r="E4" s="43" t="s">
        <v>238</v>
      </c>
      <c r="G4" s="45" t="s">
        <v>20</v>
      </c>
      <c r="H4" s="45">
        <f>SUM(H3:H3)</f>
        <v>32</v>
      </c>
      <c r="I4" s="45">
        <f>SUM(I3:I3)</f>
        <v>14</v>
      </c>
      <c r="J4" s="45">
        <f>SUM(J3:J3)</f>
        <v>24</v>
      </c>
      <c r="K4" s="45">
        <f>SUM(K3:K3)</f>
        <v>70</v>
      </c>
      <c r="L4" s="39" t="s">
        <v>31</v>
      </c>
      <c r="M4" s="45">
        <f>SUM(M3:M3)</f>
        <v>32</v>
      </c>
    </row>
    <row r="5" spans="1:13" x14ac:dyDescent="0.3">
      <c r="A5" s="41">
        <v>48</v>
      </c>
      <c r="B5" s="41" t="s">
        <v>84</v>
      </c>
      <c r="C5" s="38">
        <v>0.66700000000000004</v>
      </c>
      <c r="D5" s="42" t="s">
        <v>25</v>
      </c>
      <c r="E5" s="40" t="s">
        <v>242</v>
      </c>
    </row>
    <row r="6" spans="1:13" x14ac:dyDescent="0.3">
      <c r="A6" s="37">
        <v>49</v>
      </c>
      <c r="B6" s="37" t="s">
        <v>85</v>
      </c>
      <c r="C6" s="38">
        <v>0.75</v>
      </c>
      <c r="D6" s="39" t="s">
        <v>25</v>
      </c>
      <c r="E6" s="40" t="s">
        <v>242</v>
      </c>
      <c r="G6" s="46" t="s">
        <v>34</v>
      </c>
      <c r="H6" s="23"/>
      <c r="I6" s="23"/>
      <c r="J6" s="23"/>
      <c r="K6" s="23"/>
      <c r="L6" s="23"/>
    </row>
    <row r="7" spans="1:13" x14ac:dyDescent="0.3">
      <c r="A7" s="41">
        <v>50</v>
      </c>
      <c r="B7" s="41" t="s">
        <v>86</v>
      </c>
      <c r="C7" s="38">
        <v>1</v>
      </c>
      <c r="D7" s="42" t="s">
        <v>25</v>
      </c>
      <c r="E7" s="47" t="s">
        <v>243</v>
      </c>
      <c r="G7" s="37" t="s">
        <v>36</v>
      </c>
      <c r="L7" s="39">
        <f>M4</f>
        <v>32</v>
      </c>
    </row>
    <row r="8" spans="1:13" x14ac:dyDescent="0.3">
      <c r="A8" s="37">
        <v>51</v>
      </c>
      <c r="B8" s="37" t="s">
        <v>87</v>
      </c>
      <c r="C8" s="38">
        <v>0.68799999999999994</v>
      </c>
      <c r="D8" s="39" t="s">
        <v>25</v>
      </c>
      <c r="E8" s="40" t="s">
        <v>242</v>
      </c>
      <c r="G8" s="37" t="s">
        <v>38</v>
      </c>
      <c r="L8" s="39">
        <f>K4</f>
        <v>70</v>
      </c>
    </row>
    <row r="9" spans="1:13" x14ac:dyDescent="0.3">
      <c r="A9" s="41">
        <v>52</v>
      </c>
      <c r="B9" s="41" t="s">
        <v>88</v>
      </c>
      <c r="C9" s="38">
        <v>0.66700000000000004</v>
      </c>
      <c r="D9" s="42" t="s">
        <v>25</v>
      </c>
      <c r="E9" s="40" t="s">
        <v>242</v>
      </c>
      <c r="G9" s="37" t="s">
        <v>40</v>
      </c>
      <c r="L9" s="48">
        <f>L7/L8</f>
        <v>0.45714285714285713</v>
      </c>
    </row>
    <row r="10" spans="1:13" x14ac:dyDescent="0.3">
      <c r="A10" s="37">
        <v>53</v>
      </c>
      <c r="B10" s="37" t="s">
        <v>89</v>
      </c>
      <c r="C10" s="38">
        <v>0.95799999999999996</v>
      </c>
      <c r="D10" s="39" t="s">
        <v>25</v>
      </c>
      <c r="E10" s="47" t="s">
        <v>243</v>
      </c>
      <c r="G10" s="37" t="s">
        <v>42</v>
      </c>
      <c r="L10" s="49">
        <f>L9</f>
        <v>0.45714285714285713</v>
      </c>
    </row>
    <row r="11" spans="1:13" x14ac:dyDescent="0.3">
      <c r="A11" s="41">
        <v>54</v>
      </c>
      <c r="B11" s="41" t="s">
        <v>90</v>
      </c>
      <c r="C11" s="38">
        <v>0.85400000000000009</v>
      </c>
      <c r="D11" s="42" t="s">
        <v>25</v>
      </c>
      <c r="E11" s="43" t="s">
        <v>238</v>
      </c>
    </row>
    <row r="12" spans="1:13" x14ac:dyDescent="0.3">
      <c r="A12" s="37">
        <v>55</v>
      </c>
      <c r="B12" s="37" t="s">
        <v>91</v>
      </c>
      <c r="C12" s="38">
        <v>0.89599999999999991</v>
      </c>
      <c r="D12" s="39" t="s">
        <v>25</v>
      </c>
      <c r="E12" s="47" t="s">
        <v>243</v>
      </c>
    </row>
    <row r="13" spans="1:13" x14ac:dyDescent="0.3">
      <c r="A13" s="41">
        <v>56</v>
      </c>
      <c r="B13" s="41" t="s">
        <v>92</v>
      </c>
      <c r="C13" s="38">
        <v>0.89599999999999991</v>
      </c>
      <c r="D13" s="42" t="s">
        <v>25</v>
      </c>
      <c r="E13" s="47" t="s">
        <v>243</v>
      </c>
      <c r="G13" s="50" t="s">
        <v>244</v>
      </c>
      <c r="H13" s="23"/>
    </row>
    <row r="14" spans="1:13" ht="15.6" customHeight="1" x14ac:dyDescent="0.3">
      <c r="A14" s="37">
        <v>57</v>
      </c>
      <c r="B14" s="37" t="s">
        <v>93</v>
      </c>
      <c r="C14" s="38">
        <v>0.70799999999999996</v>
      </c>
      <c r="D14" s="39" t="s">
        <v>25</v>
      </c>
      <c r="E14" s="40" t="s">
        <v>242</v>
      </c>
      <c r="G14" s="51" t="s">
        <v>243</v>
      </c>
      <c r="H14" s="52" t="s">
        <v>248</v>
      </c>
    </row>
    <row r="15" spans="1:13" ht="15.6" customHeight="1" x14ac:dyDescent="0.3">
      <c r="A15" s="41">
        <v>58</v>
      </c>
      <c r="B15" s="41" t="s">
        <v>94</v>
      </c>
      <c r="C15" s="38">
        <v>0.93799999999999994</v>
      </c>
      <c r="D15" s="42" t="s">
        <v>25</v>
      </c>
      <c r="E15" s="47" t="s">
        <v>243</v>
      </c>
      <c r="G15" s="53" t="s">
        <v>238</v>
      </c>
      <c r="H15" s="52" t="s">
        <v>249</v>
      </c>
    </row>
    <row r="16" spans="1:13" ht="15" customHeight="1" x14ac:dyDescent="0.3">
      <c r="A16" s="37">
        <v>59</v>
      </c>
      <c r="B16" s="37" t="s">
        <v>95</v>
      </c>
      <c r="C16" s="38">
        <v>0.95799999999999996</v>
      </c>
      <c r="D16" s="39" t="s">
        <v>25</v>
      </c>
      <c r="E16" s="47" t="s">
        <v>243</v>
      </c>
      <c r="G16" s="54" t="s">
        <v>242</v>
      </c>
      <c r="H16" s="52" t="s">
        <v>250</v>
      </c>
    </row>
    <row r="17" spans="1:5" x14ac:dyDescent="0.3">
      <c r="A17" s="41">
        <v>60</v>
      </c>
      <c r="B17" s="41" t="s">
        <v>96</v>
      </c>
      <c r="C17" s="38">
        <v>0.97900000000000009</v>
      </c>
      <c r="D17" s="42" t="s">
        <v>25</v>
      </c>
      <c r="E17" s="47" t="s">
        <v>243</v>
      </c>
    </row>
    <row r="18" spans="1:5" x14ac:dyDescent="0.3">
      <c r="A18" s="37">
        <v>61</v>
      </c>
      <c r="B18" s="37" t="s">
        <v>97</v>
      </c>
      <c r="C18" s="38">
        <v>0.68799999999999994</v>
      </c>
      <c r="D18" s="39" t="s">
        <v>25</v>
      </c>
      <c r="E18" s="40" t="s">
        <v>242</v>
      </c>
    </row>
    <row r="19" spans="1:5" x14ac:dyDescent="0.3">
      <c r="A19" s="41">
        <v>62</v>
      </c>
      <c r="B19" s="41" t="s">
        <v>98</v>
      </c>
      <c r="C19" s="38">
        <v>0.68799999999999994</v>
      </c>
      <c r="D19" s="42" t="s">
        <v>25</v>
      </c>
      <c r="E19" s="40" t="s">
        <v>242</v>
      </c>
    </row>
    <row r="20" spans="1:5" x14ac:dyDescent="0.3">
      <c r="A20" s="37">
        <v>63</v>
      </c>
      <c r="B20" s="37" t="s">
        <v>99</v>
      </c>
      <c r="C20" s="38">
        <v>0.77099999999999991</v>
      </c>
      <c r="D20" s="39" t="s">
        <v>25</v>
      </c>
      <c r="E20" s="43" t="s">
        <v>238</v>
      </c>
    </row>
    <row r="21" spans="1:5" x14ac:dyDescent="0.3">
      <c r="A21" s="41">
        <v>64</v>
      </c>
      <c r="B21" s="41" t="s">
        <v>100</v>
      </c>
      <c r="C21" s="38">
        <v>0.93799999999999994</v>
      </c>
      <c r="D21" s="42" t="s">
        <v>25</v>
      </c>
      <c r="E21" s="47" t="s">
        <v>243</v>
      </c>
    </row>
    <row r="22" spans="1:5" x14ac:dyDescent="0.3">
      <c r="A22" s="37">
        <v>65</v>
      </c>
      <c r="B22" s="37" t="s">
        <v>101</v>
      </c>
      <c r="C22" s="38">
        <v>0.72900000000000009</v>
      </c>
      <c r="D22" s="39" t="s">
        <v>25</v>
      </c>
      <c r="E22" s="40" t="s">
        <v>242</v>
      </c>
    </row>
    <row r="23" spans="1:5" x14ac:dyDescent="0.3">
      <c r="A23" s="41">
        <v>66</v>
      </c>
      <c r="B23" s="41" t="s">
        <v>102</v>
      </c>
      <c r="C23" s="38">
        <v>0.83299999999999996</v>
      </c>
      <c r="D23" s="42" t="s">
        <v>25</v>
      </c>
      <c r="E23" s="43" t="s">
        <v>238</v>
      </c>
    </row>
    <row r="24" spans="1:5" x14ac:dyDescent="0.3">
      <c r="A24" s="37">
        <v>67</v>
      </c>
      <c r="B24" s="37" t="s">
        <v>103</v>
      </c>
      <c r="C24" s="38">
        <v>1</v>
      </c>
      <c r="D24" s="39" t="s">
        <v>25</v>
      </c>
      <c r="E24" s="47" t="s">
        <v>243</v>
      </c>
    </row>
    <row r="25" spans="1:5" x14ac:dyDescent="0.3">
      <c r="A25" s="41">
        <v>68</v>
      </c>
      <c r="B25" s="41" t="s">
        <v>104</v>
      </c>
      <c r="C25" s="38">
        <v>0.77099999999999991</v>
      </c>
      <c r="D25" s="42" t="s">
        <v>25</v>
      </c>
      <c r="E25" s="43" t="s">
        <v>238</v>
      </c>
    </row>
    <row r="26" spans="1:5" x14ac:dyDescent="0.3">
      <c r="A26" s="37">
        <v>69</v>
      </c>
      <c r="B26" s="37" t="s">
        <v>105</v>
      </c>
      <c r="C26" s="38">
        <v>0.75</v>
      </c>
      <c r="D26" s="39" t="s">
        <v>25</v>
      </c>
      <c r="E26" s="40" t="s">
        <v>242</v>
      </c>
    </row>
    <row r="27" spans="1:5" x14ac:dyDescent="0.3">
      <c r="A27" s="41">
        <v>70</v>
      </c>
      <c r="B27" s="41" t="s">
        <v>106</v>
      </c>
      <c r="C27" s="38">
        <v>0.91700000000000004</v>
      </c>
      <c r="D27" s="42" t="s">
        <v>25</v>
      </c>
      <c r="E27" s="47" t="s">
        <v>243</v>
      </c>
    </row>
    <row r="28" spans="1:5" x14ac:dyDescent="0.3">
      <c r="A28" s="37">
        <v>71</v>
      </c>
      <c r="B28" s="37" t="s">
        <v>107</v>
      </c>
      <c r="C28" s="38">
        <v>0.93799999999999994</v>
      </c>
      <c r="D28" s="39" t="s">
        <v>25</v>
      </c>
      <c r="E28" s="47" t="s">
        <v>243</v>
      </c>
    </row>
    <row r="29" spans="1:5" x14ac:dyDescent="0.3">
      <c r="A29" s="41">
        <v>72</v>
      </c>
      <c r="B29" s="41" t="s">
        <v>108</v>
      </c>
      <c r="C29" s="38">
        <v>0.91700000000000004</v>
      </c>
      <c r="D29" s="42" t="s">
        <v>25</v>
      </c>
      <c r="E29" s="47" t="s">
        <v>243</v>
      </c>
    </row>
    <row r="30" spans="1:5" x14ac:dyDescent="0.3">
      <c r="A30" s="37">
        <v>73</v>
      </c>
      <c r="B30" s="37" t="s">
        <v>109</v>
      </c>
      <c r="C30" s="38">
        <v>0.72900000000000009</v>
      </c>
      <c r="D30" s="39" t="s">
        <v>25</v>
      </c>
      <c r="E30" s="40" t="s">
        <v>242</v>
      </c>
    </row>
    <row r="31" spans="1:5" x14ac:dyDescent="0.3">
      <c r="A31" s="41">
        <v>74</v>
      </c>
      <c r="B31" s="41" t="s">
        <v>110</v>
      </c>
      <c r="C31" s="38">
        <v>0.66700000000000004</v>
      </c>
      <c r="D31" s="42" t="s">
        <v>25</v>
      </c>
      <c r="E31" s="40" t="s">
        <v>242</v>
      </c>
    </row>
    <row r="32" spans="1:5" x14ac:dyDescent="0.3">
      <c r="A32" s="37">
        <v>75</v>
      </c>
      <c r="B32" s="37" t="s">
        <v>111</v>
      </c>
      <c r="C32" s="38">
        <v>0.93799999999999994</v>
      </c>
      <c r="D32" s="39" t="s">
        <v>25</v>
      </c>
      <c r="E32" s="47" t="s">
        <v>243</v>
      </c>
    </row>
    <row r="33" spans="1:5" x14ac:dyDescent="0.3">
      <c r="A33" s="41">
        <v>76</v>
      </c>
      <c r="B33" s="41" t="s">
        <v>112</v>
      </c>
      <c r="C33" s="38">
        <v>0.70799999999999996</v>
      </c>
      <c r="D33" s="42" t="s">
        <v>25</v>
      </c>
      <c r="E33" s="40" t="s">
        <v>242</v>
      </c>
    </row>
    <row r="34" spans="1:5" x14ac:dyDescent="0.3">
      <c r="A34" s="37">
        <v>77</v>
      </c>
      <c r="B34" s="37" t="s">
        <v>113</v>
      </c>
      <c r="C34" s="38">
        <v>0.93799999999999994</v>
      </c>
      <c r="D34" s="39" t="s">
        <v>25</v>
      </c>
      <c r="E34" s="47" t="s">
        <v>243</v>
      </c>
    </row>
    <row r="35" spans="1:5" x14ac:dyDescent="0.3">
      <c r="A35" s="41">
        <v>78</v>
      </c>
      <c r="B35" s="41" t="s">
        <v>114</v>
      </c>
      <c r="C35" s="38">
        <v>0.77099999999999991</v>
      </c>
      <c r="D35" s="42" t="s">
        <v>25</v>
      </c>
      <c r="E35" s="43" t="s">
        <v>238</v>
      </c>
    </row>
    <row r="36" spans="1:5" x14ac:dyDescent="0.3">
      <c r="A36" s="37">
        <v>79</v>
      </c>
      <c r="B36" s="37" t="s">
        <v>115</v>
      </c>
      <c r="C36" s="38">
        <v>0.93799999999999994</v>
      </c>
      <c r="D36" s="39" t="s">
        <v>25</v>
      </c>
      <c r="E36" s="47" t="s">
        <v>243</v>
      </c>
    </row>
    <row r="37" spans="1:5" x14ac:dyDescent="0.3">
      <c r="A37" s="41">
        <v>80</v>
      </c>
      <c r="B37" s="41" t="s">
        <v>116</v>
      </c>
      <c r="C37" s="38">
        <v>0.875</v>
      </c>
      <c r="D37" s="42" t="s">
        <v>25</v>
      </c>
      <c r="E37" s="43" t="s">
        <v>238</v>
      </c>
    </row>
    <row r="38" spans="1:5" x14ac:dyDescent="0.3">
      <c r="A38" s="37">
        <v>81</v>
      </c>
      <c r="B38" s="37" t="s">
        <v>117</v>
      </c>
      <c r="C38" s="38">
        <v>0.75</v>
      </c>
      <c r="D38" s="39" t="s">
        <v>25</v>
      </c>
      <c r="E38" s="40" t="s">
        <v>242</v>
      </c>
    </row>
    <row r="39" spans="1:5" x14ac:dyDescent="0.3">
      <c r="A39" s="41">
        <v>82</v>
      </c>
      <c r="B39" s="41" t="s">
        <v>118</v>
      </c>
      <c r="C39" s="38">
        <v>0.66700000000000004</v>
      </c>
      <c r="D39" s="42" t="s">
        <v>25</v>
      </c>
      <c r="E39" s="40" t="s">
        <v>242</v>
      </c>
    </row>
    <row r="40" spans="1:5" x14ac:dyDescent="0.3">
      <c r="A40" s="37">
        <v>83</v>
      </c>
      <c r="B40" s="37" t="s">
        <v>119</v>
      </c>
      <c r="C40" s="38">
        <v>0.93799999999999994</v>
      </c>
      <c r="D40" s="39" t="s">
        <v>25</v>
      </c>
      <c r="E40" s="47" t="s">
        <v>243</v>
      </c>
    </row>
    <row r="41" spans="1:5" x14ac:dyDescent="0.3">
      <c r="A41" s="41">
        <v>84</v>
      </c>
      <c r="B41" s="41" t="s">
        <v>120</v>
      </c>
      <c r="C41" s="38">
        <v>0.93799999999999994</v>
      </c>
      <c r="D41" s="42" t="s">
        <v>25</v>
      </c>
      <c r="E41" s="47" t="s">
        <v>243</v>
      </c>
    </row>
    <row r="42" spans="1:5" x14ac:dyDescent="0.3">
      <c r="A42" s="37">
        <v>85</v>
      </c>
      <c r="B42" s="37" t="s">
        <v>121</v>
      </c>
      <c r="C42" s="38">
        <v>0.91700000000000004</v>
      </c>
      <c r="D42" s="39" t="s">
        <v>25</v>
      </c>
      <c r="E42" s="47" t="s">
        <v>243</v>
      </c>
    </row>
    <row r="43" spans="1:5" x14ac:dyDescent="0.3">
      <c r="A43" s="41">
        <v>86</v>
      </c>
      <c r="B43" s="41" t="s">
        <v>122</v>
      </c>
      <c r="C43" s="38">
        <v>0.97900000000000009</v>
      </c>
      <c r="D43" s="42" t="s">
        <v>25</v>
      </c>
      <c r="E43" s="47" t="s">
        <v>243</v>
      </c>
    </row>
    <row r="44" spans="1:5" x14ac:dyDescent="0.3">
      <c r="A44" s="37">
        <v>87</v>
      </c>
      <c r="B44" s="37" t="s">
        <v>123</v>
      </c>
      <c r="C44" s="38">
        <v>0.83299999999999996</v>
      </c>
      <c r="D44" s="39" t="s">
        <v>25</v>
      </c>
      <c r="E44" s="43" t="s">
        <v>238</v>
      </c>
    </row>
    <row r="45" spans="1:5" x14ac:dyDescent="0.3">
      <c r="A45" s="41">
        <v>88</v>
      </c>
      <c r="B45" s="41" t="s">
        <v>124</v>
      </c>
      <c r="C45" s="38">
        <v>0.81200000000000006</v>
      </c>
      <c r="D45" s="42" t="s">
        <v>25</v>
      </c>
      <c r="E45" s="43" t="s">
        <v>238</v>
      </c>
    </row>
    <row r="46" spans="1:5" x14ac:dyDescent="0.3">
      <c r="A46" s="37">
        <v>89</v>
      </c>
      <c r="B46" s="37" t="s">
        <v>125</v>
      </c>
      <c r="C46" s="38">
        <v>0.81200000000000006</v>
      </c>
      <c r="D46" s="39" t="s">
        <v>25</v>
      </c>
      <c r="E46" s="43" t="s">
        <v>238</v>
      </c>
    </row>
    <row r="47" spans="1:5" x14ac:dyDescent="0.3">
      <c r="A47" s="41">
        <v>90</v>
      </c>
      <c r="B47" s="41" t="s">
        <v>126</v>
      </c>
      <c r="C47" s="38">
        <v>0.66700000000000004</v>
      </c>
      <c r="D47" s="42" t="s">
        <v>25</v>
      </c>
      <c r="E47" s="40" t="s">
        <v>242</v>
      </c>
    </row>
    <row r="48" spans="1:5" x14ac:dyDescent="0.3">
      <c r="A48" s="37">
        <v>91</v>
      </c>
      <c r="B48" s="37" t="s">
        <v>127</v>
      </c>
      <c r="C48" s="38">
        <v>0.95799999999999996</v>
      </c>
      <c r="D48" s="39" t="s">
        <v>25</v>
      </c>
      <c r="E48" s="47" t="s">
        <v>243</v>
      </c>
    </row>
    <row r="49" spans="1:5" x14ac:dyDescent="0.3">
      <c r="A49" s="41">
        <v>92</v>
      </c>
      <c r="B49" s="41" t="s">
        <v>128</v>
      </c>
      <c r="C49" s="38">
        <v>0.95799999999999996</v>
      </c>
      <c r="D49" s="42" t="s">
        <v>25</v>
      </c>
      <c r="E49" s="47" t="s">
        <v>243</v>
      </c>
    </row>
    <row r="50" spans="1:5" x14ac:dyDescent="0.3">
      <c r="A50" s="37">
        <v>93</v>
      </c>
      <c r="B50" s="37" t="s">
        <v>129</v>
      </c>
      <c r="C50" s="38">
        <v>0.97900000000000009</v>
      </c>
      <c r="D50" s="39" t="s">
        <v>25</v>
      </c>
      <c r="E50" s="47" t="s">
        <v>243</v>
      </c>
    </row>
    <row r="51" spans="1:5" x14ac:dyDescent="0.3">
      <c r="A51" s="41">
        <v>94</v>
      </c>
      <c r="B51" s="41" t="s">
        <v>130</v>
      </c>
      <c r="C51" s="38">
        <v>0.83299999999999996</v>
      </c>
      <c r="D51" s="42" t="s">
        <v>25</v>
      </c>
      <c r="E51" s="43" t="s">
        <v>238</v>
      </c>
    </row>
    <row r="52" spans="1:5" x14ac:dyDescent="0.3">
      <c r="A52" s="37">
        <v>95</v>
      </c>
      <c r="B52" s="37" t="s">
        <v>131</v>
      </c>
      <c r="C52" s="38">
        <v>1</v>
      </c>
      <c r="D52" s="39" t="s">
        <v>25</v>
      </c>
      <c r="E52" s="47" t="s">
        <v>243</v>
      </c>
    </row>
    <row r="53" spans="1:5" x14ac:dyDescent="0.3">
      <c r="A53" s="41">
        <v>96</v>
      </c>
      <c r="B53" s="41" t="s">
        <v>132</v>
      </c>
      <c r="C53" s="38">
        <v>0.66700000000000004</v>
      </c>
      <c r="D53" s="42" t="s">
        <v>25</v>
      </c>
      <c r="E53" s="40" t="s">
        <v>242</v>
      </c>
    </row>
    <row r="54" spans="1:5" x14ac:dyDescent="0.3">
      <c r="A54" s="37">
        <v>97</v>
      </c>
      <c r="B54" s="37" t="s">
        <v>133</v>
      </c>
      <c r="C54" s="38">
        <v>0.68799999999999994</v>
      </c>
      <c r="D54" s="39" t="s">
        <v>25</v>
      </c>
      <c r="E54" s="40" t="s">
        <v>242</v>
      </c>
    </row>
    <row r="55" spans="1:5" x14ac:dyDescent="0.3">
      <c r="A55" s="41">
        <v>98</v>
      </c>
      <c r="B55" s="41" t="s">
        <v>134</v>
      </c>
      <c r="C55" s="38">
        <v>0.97900000000000009</v>
      </c>
      <c r="D55" s="42" t="s">
        <v>25</v>
      </c>
      <c r="E55" s="47" t="s">
        <v>243</v>
      </c>
    </row>
    <row r="56" spans="1:5" x14ac:dyDescent="0.3">
      <c r="A56" s="37">
        <v>99</v>
      </c>
      <c r="B56" s="37" t="s">
        <v>135</v>
      </c>
      <c r="C56" s="38">
        <v>0.95799999999999996</v>
      </c>
      <c r="D56" s="39" t="s">
        <v>25</v>
      </c>
      <c r="E56" s="47" t="s">
        <v>243</v>
      </c>
    </row>
    <row r="57" spans="1:5" x14ac:dyDescent="0.3">
      <c r="A57" s="41">
        <v>100</v>
      </c>
      <c r="B57" s="41" t="s">
        <v>136</v>
      </c>
      <c r="C57" s="38">
        <v>0.83299999999999996</v>
      </c>
      <c r="D57" s="42" t="s">
        <v>25</v>
      </c>
      <c r="E57" s="43" t="s">
        <v>238</v>
      </c>
    </row>
    <row r="58" spans="1:5" x14ac:dyDescent="0.3">
      <c r="A58" s="37">
        <v>101</v>
      </c>
      <c r="B58" s="37" t="s">
        <v>137</v>
      </c>
      <c r="C58" s="38">
        <v>0.95799999999999996</v>
      </c>
      <c r="D58" s="39" t="s">
        <v>25</v>
      </c>
      <c r="E58" s="47" t="s">
        <v>243</v>
      </c>
    </row>
    <row r="59" spans="1:5" x14ac:dyDescent="0.3">
      <c r="A59" s="41">
        <v>102</v>
      </c>
      <c r="B59" s="41" t="s">
        <v>138</v>
      </c>
      <c r="C59" s="38">
        <v>0.72900000000000009</v>
      </c>
      <c r="D59" s="42" t="s">
        <v>25</v>
      </c>
      <c r="E59" s="40" t="s">
        <v>242</v>
      </c>
    </row>
    <row r="60" spans="1:5" x14ac:dyDescent="0.3">
      <c r="A60" s="37">
        <v>103</v>
      </c>
      <c r="B60" s="37" t="s">
        <v>139</v>
      </c>
      <c r="C60" s="38">
        <v>0.95799999999999996</v>
      </c>
      <c r="D60" s="39" t="s">
        <v>25</v>
      </c>
      <c r="E60" s="47" t="s">
        <v>243</v>
      </c>
    </row>
    <row r="61" spans="1:5" x14ac:dyDescent="0.3">
      <c r="A61" s="41">
        <v>104</v>
      </c>
      <c r="B61" s="41" t="s">
        <v>140</v>
      </c>
      <c r="C61" s="38">
        <v>0.72900000000000009</v>
      </c>
      <c r="D61" s="42" t="s">
        <v>25</v>
      </c>
      <c r="E61" s="40" t="s">
        <v>242</v>
      </c>
    </row>
    <row r="62" spans="1:5" x14ac:dyDescent="0.3">
      <c r="A62" s="37">
        <v>105</v>
      </c>
      <c r="B62" s="37" t="s">
        <v>141</v>
      </c>
      <c r="C62" s="38">
        <v>0.95799999999999996</v>
      </c>
      <c r="D62" s="39" t="s">
        <v>25</v>
      </c>
      <c r="E62" s="47" t="s">
        <v>243</v>
      </c>
    </row>
    <row r="63" spans="1:5" x14ac:dyDescent="0.3">
      <c r="A63" s="41">
        <v>106</v>
      </c>
      <c r="B63" s="41" t="s">
        <v>142</v>
      </c>
      <c r="C63" s="38">
        <v>0.81200000000000006</v>
      </c>
      <c r="D63" s="42" t="s">
        <v>25</v>
      </c>
      <c r="E63" s="43" t="s">
        <v>238</v>
      </c>
    </row>
    <row r="64" spans="1:5" x14ac:dyDescent="0.3">
      <c r="A64" s="37">
        <v>107</v>
      </c>
      <c r="B64" s="37" t="s">
        <v>143</v>
      </c>
      <c r="C64" s="38">
        <v>0.91700000000000004</v>
      </c>
      <c r="D64" s="39" t="s">
        <v>25</v>
      </c>
      <c r="E64" s="47" t="s">
        <v>243</v>
      </c>
    </row>
    <row r="65" spans="1:5" x14ac:dyDescent="0.3">
      <c r="A65" s="41">
        <v>108</v>
      </c>
      <c r="B65" s="41" t="s">
        <v>144</v>
      </c>
      <c r="C65" s="38">
        <v>0.95799999999999996</v>
      </c>
      <c r="D65" s="42" t="s">
        <v>25</v>
      </c>
      <c r="E65" s="47" t="s">
        <v>243</v>
      </c>
    </row>
    <row r="66" spans="1:5" x14ac:dyDescent="0.3">
      <c r="A66" s="37">
        <v>109</v>
      </c>
      <c r="B66" s="37" t="s">
        <v>145</v>
      </c>
      <c r="C66" s="38">
        <v>0.70799999999999996</v>
      </c>
      <c r="D66" s="39" t="s">
        <v>25</v>
      </c>
      <c r="E66" s="40" t="s">
        <v>242</v>
      </c>
    </row>
    <row r="67" spans="1:5" x14ac:dyDescent="0.3">
      <c r="A67" s="41">
        <v>110</v>
      </c>
      <c r="B67" s="41" t="s">
        <v>146</v>
      </c>
      <c r="C67" s="38">
        <v>0.66700000000000004</v>
      </c>
      <c r="D67" s="42" t="s">
        <v>25</v>
      </c>
      <c r="E67" s="40" t="s">
        <v>242</v>
      </c>
    </row>
    <row r="68" spans="1:5" x14ac:dyDescent="0.3">
      <c r="A68" s="37">
        <v>111</v>
      </c>
      <c r="B68" s="37" t="s">
        <v>147</v>
      </c>
      <c r="C68" s="38">
        <v>0.68799999999999994</v>
      </c>
      <c r="D68" s="39" t="s">
        <v>25</v>
      </c>
      <c r="E68" s="40" t="s">
        <v>242</v>
      </c>
    </row>
    <row r="69" spans="1:5" x14ac:dyDescent="0.3">
      <c r="A69" s="41">
        <v>112</v>
      </c>
      <c r="B69" s="41" t="s">
        <v>148</v>
      </c>
      <c r="C69" s="38">
        <v>0.97900000000000009</v>
      </c>
      <c r="D69" s="42" t="s">
        <v>25</v>
      </c>
      <c r="E69" s="47" t="s">
        <v>243</v>
      </c>
    </row>
    <row r="70" spans="1:5" x14ac:dyDescent="0.3">
      <c r="A70" s="37">
        <v>113</v>
      </c>
      <c r="B70" s="37" t="s">
        <v>149</v>
      </c>
      <c r="C70" s="38">
        <v>0.95799999999999996</v>
      </c>
      <c r="D70" s="39" t="s">
        <v>25</v>
      </c>
      <c r="E70" s="47" t="s">
        <v>243</v>
      </c>
    </row>
    <row r="71" spans="1:5" x14ac:dyDescent="0.3">
      <c r="A71" s="41">
        <v>114</v>
      </c>
      <c r="B71" s="41" t="s">
        <v>150</v>
      </c>
      <c r="C71" s="38">
        <v>0.72900000000000009</v>
      </c>
      <c r="D71" s="42" t="s">
        <v>25</v>
      </c>
      <c r="E71" s="40" t="s">
        <v>242</v>
      </c>
    </row>
  </sheetData>
  <mergeCells count="3">
    <mergeCell ref="G1:M1"/>
    <mergeCell ref="G6:L6"/>
    <mergeCell ref="G13:H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2978-7FEB-40D3-BA00-812884DFAB31}">
  <dimension ref="A1:M201"/>
  <sheetViews>
    <sheetView tabSelected="1" workbookViewId="0">
      <selection activeCell="K17" sqref="K17"/>
    </sheetView>
  </sheetViews>
  <sheetFormatPr defaultRowHeight="14.4" x14ac:dyDescent="0.3"/>
  <cols>
    <col min="2" max="2" width="18" customWidth="1"/>
    <col min="3" max="3" width="19.109375" customWidth="1"/>
    <col min="4" max="4" width="18.88671875" customWidth="1"/>
    <col min="5" max="5" width="21.109375" customWidth="1"/>
    <col min="11" max="11" width="12.5546875" customWidth="1"/>
    <col min="12" max="12" width="24" customWidth="1"/>
    <col min="13" max="13" width="18.109375" customWidth="1"/>
  </cols>
  <sheetData>
    <row r="1" spans="1:13" x14ac:dyDescent="0.3">
      <c r="A1" s="79" t="s">
        <v>0</v>
      </c>
      <c r="B1" s="79" t="s">
        <v>1</v>
      </c>
      <c r="C1" s="79" t="s">
        <v>5</v>
      </c>
      <c r="D1" s="79" t="s">
        <v>2</v>
      </c>
      <c r="E1" s="79" t="s">
        <v>237</v>
      </c>
      <c r="G1" s="79" t="s">
        <v>13</v>
      </c>
      <c r="H1" s="80"/>
      <c r="I1" s="80"/>
      <c r="J1" s="80"/>
      <c r="K1" s="80"/>
      <c r="L1" s="80"/>
      <c r="M1" s="80"/>
    </row>
    <row r="2" spans="1:13" x14ac:dyDescent="0.3">
      <c r="A2" s="80">
        <v>1</v>
      </c>
      <c r="B2" s="80" t="s">
        <v>14</v>
      </c>
      <c r="C2" s="81">
        <v>0.41699999999999998</v>
      </c>
      <c r="D2" s="80" t="s">
        <v>15</v>
      </c>
      <c r="E2" s="82" t="s">
        <v>238</v>
      </c>
      <c r="G2" s="79" t="s">
        <v>17</v>
      </c>
      <c r="H2" s="79" t="s">
        <v>239</v>
      </c>
      <c r="I2" s="79" t="s">
        <v>240</v>
      </c>
      <c r="J2" s="79" t="s">
        <v>241</v>
      </c>
      <c r="K2" s="79" t="s">
        <v>20</v>
      </c>
      <c r="L2" s="79" t="s">
        <v>21</v>
      </c>
      <c r="M2" s="79" t="s">
        <v>22</v>
      </c>
    </row>
    <row r="3" spans="1:13" x14ac:dyDescent="0.3">
      <c r="A3" s="80">
        <v>2</v>
      </c>
      <c r="B3" s="80" t="s">
        <v>23</v>
      </c>
      <c r="C3" s="81">
        <v>0.52100000000000002</v>
      </c>
      <c r="D3" s="80" t="s">
        <v>15</v>
      </c>
      <c r="E3" s="82" t="s">
        <v>238</v>
      </c>
      <c r="G3" s="80" t="s">
        <v>15</v>
      </c>
      <c r="H3" s="80">
        <f>SUMPRODUCT(($D$2:$D$201=G3)*($E$2:$E$201="X"))</f>
        <v>2</v>
      </c>
      <c r="I3" s="80">
        <f>SUMPRODUCT(($D$2:$D$201=G3)*($E$2:$E$201="O"))</f>
        <v>32</v>
      </c>
      <c r="J3" s="80">
        <f>SUMPRODUCT(($D$2:$D$201=G3)*($E$2:$E$201="Y"))</f>
        <v>10</v>
      </c>
      <c r="K3" s="80">
        <f>SUM(H3:J3)</f>
        <v>44</v>
      </c>
      <c r="L3" s="80" t="str">
        <f>IF(MAX(H3:J3)=H3,"Patuh",IF(MAX(H3:J3)=I3,"Kurang Patuh","Tidak Patuh"))</f>
        <v>Kurang Patuh</v>
      </c>
      <c r="M3" s="80">
        <f>MAX(H3:J3)</f>
        <v>32</v>
      </c>
    </row>
    <row r="4" spans="1:13" x14ac:dyDescent="0.3">
      <c r="A4" s="80">
        <v>3</v>
      </c>
      <c r="B4" s="80" t="s">
        <v>24</v>
      </c>
      <c r="C4" s="81">
        <v>0.54200000000000004</v>
      </c>
      <c r="D4" s="80" t="s">
        <v>15</v>
      </c>
      <c r="E4" s="82" t="s">
        <v>238</v>
      </c>
      <c r="G4" s="80" t="s">
        <v>25</v>
      </c>
      <c r="H4" s="80">
        <f>SUMPRODUCT(($D$2:$D$201=G4)*($E$2:$E$201="X"))</f>
        <v>32</v>
      </c>
      <c r="I4" s="80">
        <f>SUMPRODUCT(($D$2:$D$201=G4)*($E$2:$E$201="O"))</f>
        <v>14</v>
      </c>
      <c r="J4" s="80">
        <f>SUMPRODUCT(($D$2:$D$201=G4)*($E$2:$E$201="Y"))</f>
        <v>24</v>
      </c>
      <c r="K4" s="80">
        <f>SUM(H4:J4)</f>
        <v>70</v>
      </c>
      <c r="L4" s="80" t="str">
        <f>IF(MAX(H4:J4)=H4,"Patuh",IF(MAX(H4:J4)=I4,"Kurang Patuh","Tidak Patuh"))</f>
        <v>Patuh</v>
      </c>
      <c r="M4" s="80">
        <f>MAX(H4:J4)</f>
        <v>32</v>
      </c>
    </row>
    <row r="5" spans="1:13" x14ac:dyDescent="0.3">
      <c r="A5" s="80">
        <v>4</v>
      </c>
      <c r="B5" s="80" t="s">
        <v>26</v>
      </c>
      <c r="C5" s="81">
        <v>0.375</v>
      </c>
      <c r="D5" s="80" t="s">
        <v>15</v>
      </c>
      <c r="E5" s="83" t="s">
        <v>242</v>
      </c>
      <c r="G5" s="80" t="s">
        <v>27</v>
      </c>
      <c r="H5" s="80">
        <f>SUMPRODUCT(($D$2:$D$201=G5)*($E$2:$E$201="X"))</f>
        <v>36</v>
      </c>
      <c r="I5" s="80">
        <f>SUMPRODUCT(($D$2:$D$201=G5)*($E$2:$E$201="O"))</f>
        <v>13</v>
      </c>
      <c r="J5" s="80">
        <f>SUMPRODUCT(($D$2:$D$201=G5)*($E$2:$E$201="Y"))</f>
        <v>29</v>
      </c>
      <c r="K5" s="80">
        <f>SUM(H5:J5)</f>
        <v>78</v>
      </c>
      <c r="L5" s="80" t="str">
        <f>IF(MAX(H5:J5)=H5,"Patuh",IF(MAX(H5:J5)=I5,"Kurang Patuh","Tidak Patuh"))</f>
        <v>Patuh</v>
      </c>
      <c r="M5" s="80">
        <f>MAX(H5:J5)</f>
        <v>36</v>
      </c>
    </row>
    <row r="6" spans="1:13" x14ac:dyDescent="0.3">
      <c r="A6" s="80">
        <v>5</v>
      </c>
      <c r="B6" s="80" t="s">
        <v>28</v>
      </c>
      <c r="C6" s="81">
        <v>0.54200000000000004</v>
      </c>
      <c r="D6" s="80" t="s">
        <v>15</v>
      </c>
      <c r="E6" s="82" t="s">
        <v>238</v>
      </c>
      <c r="G6" s="80" t="s">
        <v>29</v>
      </c>
      <c r="H6" s="80">
        <f>SUMPRODUCT(($D$2:$D$201=G6)*($E$2:$E$201="X"))</f>
        <v>3</v>
      </c>
      <c r="I6" s="80">
        <f>SUMPRODUCT(($D$2:$D$201=G6)*($E$2:$E$201="O"))</f>
        <v>3</v>
      </c>
      <c r="J6" s="80">
        <f>SUMPRODUCT(($D$2:$D$201=G6)*($E$2:$E$201="Y"))</f>
        <v>2</v>
      </c>
      <c r="K6" s="80">
        <f>SUM(H6:J6)</f>
        <v>8</v>
      </c>
      <c r="L6" s="80" t="str">
        <f>IF(MAX(H6:J6)=H6,"Patuh",IF(MAX(H6:J6)=I6,"Kurang Patuh","Tidak Patuh"))</f>
        <v>Patuh</v>
      </c>
      <c r="M6" s="80">
        <f>MAX(H6:J6)</f>
        <v>3</v>
      </c>
    </row>
    <row r="7" spans="1:13" x14ac:dyDescent="0.3">
      <c r="A7" s="80">
        <v>6</v>
      </c>
      <c r="B7" s="80" t="s">
        <v>30</v>
      </c>
      <c r="C7" s="81">
        <v>0.438</v>
      </c>
      <c r="D7" s="80" t="s">
        <v>15</v>
      </c>
      <c r="E7" s="82" t="s">
        <v>238</v>
      </c>
      <c r="G7" s="79" t="s">
        <v>20</v>
      </c>
      <c r="H7" s="79">
        <f>SUM(H3:H6)</f>
        <v>73</v>
      </c>
      <c r="I7" s="79">
        <f>SUM(I3:I6)</f>
        <v>62</v>
      </c>
      <c r="J7" s="79">
        <f>SUM(J3:J6)</f>
        <v>65</v>
      </c>
      <c r="K7" s="79">
        <f>SUM(K3:K6)</f>
        <v>200</v>
      </c>
      <c r="L7" s="79" t="s">
        <v>31</v>
      </c>
      <c r="M7" s="79">
        <f>SUM(M3:M6)</f>
        <v>103</v>
      </c>
    </row>
    <row r="8" spans="1:13" x14ac:dyDescent="0.3">
      <c r="A8" s="80">
        <v>7</v>
      </c>
      <c r="B8" s="80" t="s">
        <v>32</v>
      </c>
      <c r="C8" s="81">
        <v>0.29199999999999998</v>
      </c>
      <c r="D8" s="80" t="s">
        <v>15</v>
      </c>
      <c r="E8" s="83" t="s">
        <v>242</v>
      </c>
    </row>
    <row r="9" spans="1:13" x14ac:dyDescent="0.3">
      <c r="A9" s="80">
        <v>8</v>
      </c>
      <c r="B9" s="80" t="s">
        <v>33</v>
      </c>
      <c r="C9" s="81">
        <v>0.64600000000000002</v>
      </c>
      <c r="D9" s="80" t="s">
        <v>15</v>
      </c>
      <c r="E9" s="84" t="s">
        <v>243</v>
      </c>
      <c r="G9" s="79" t="s">
        <v>34</v>
      </c>
      <c r="H9" s="80"/>
      <c r="I9" s="80"/>
      <c r="J9" s="80"/>
      <c r="K9" s="80"/>
      <c r="L9" s="80"/>
    </row>
    <row r="10" spans="1:13" x14ac:dyDescent="0.3">
      <c r="A10" s="80">
        <v>9</v>
      </c>
      <c r="B10" s="80" t="s">
        <v>35</v>
      </c>
      <c r="C10" s="81">
        <v>0.60399999999999998</v>
      </c>
      <c r="D10" s="80" t="s">
        <v>15</v>
      </c>
      <c r="E10" s="84" t="s">
        <v>243</v>
      </c>
      <c r="G10" s="80" t="s">
        <v>36</v>
      </c>
      <c r="H10" s="80"/>
      <c r="I10" s="80"/>
      <c r="J10" s="80"/>
      <c r="K10" s="80"/>
      <c r="L10" s="80">
        <f>M7</f>
        <v>103</v>
      </c>
    </row>
    <row r="11" spans="1:13" x14ac:dyDescent="0.3">
      <c r="A11" s="80">
        <v>10</v>
      </c>
      <c r="B11" s="80" t="s">
        <v>37</v>
      </c>
      <c r="C11" s="81">
        <v>0.438</v>
      </c>
      <c r="D11" s="80" t="s">
        <v>15</v>
      </c>
      <c r="E11" s="82" t="s">
        <v>238</v>
      </c>
      <c r="G11" s="80" t="s">
        <v>38</v>
      </c>
      <c r="H11" s="80"/>
      <c r="I11" s="80"/>
      <c r="J11" s="80"/>
      <c r="K11" s="80"/>
      <c r="L11" s="80">
        <f>K7</f>
        <v>200</v>
      </c>
    </row>
    <row r="12" spans="1:13" x14ac:dyDescent="0.3">
      <c r="A12" s="80">
        <v>11</v>
      </c>
      <c r="B12" s="80" t="s">
        <v>39</v>
      </c>
      <c r="C12" s="81">
        <v>0.41699999999999998</v>
      </c>
      <c r="D12" s="80" t="s">
        <v>15</v>
      </c>
      <c r="E12" s="82" t="s">
        <v>238</v>
      </c>
      <c r="G12" s="80" t="s">
        <v>40</v>
      </c>
      <c r="H12" s="80"/>
      <c r="I12" s="80"/>
      <c r="J12" s="80"/>
      <c r="K12" s="80"/>
      <c r="L12" s="80">
        <f>L10/L11</f>
        <v>0.51500000000000001</v>
      </c>
    </row>
    <row r="13" spans="1:13" x14ac:dyDescent="0.3">
      <c r="A13" s="80">
        <v>12</v>
      </c>
      <c r="B13" s="80" t="s">
        <v>41</v>
      </c>
      <c r="C13" s="81">
        <v>0.47899999999999998</v>
      </c>
      <c r="D13" s="80" t="s">
        <v>15</v>
      </c>
      <c r="E13" s="82" t="s">
        <v>238</v>
      </c>
      <c r="G13" s="80" t="s">
        <v>42</v>
      </c>
      <c r="H13" s="80"/>
      <c r="I13" s="80"/>
      <c r="J13" s="80"/>
      <c r="K13" s="80"/>
      <c r="L13" s="85">
        <f>L12</f>
        <v>0.51500000000000001</v>
      </c>
    </row>
    <row r="14" spans="1:13" x14ac:dyDescent="0.3">
      <c r="A14" s="80">
        <v>13</v>
      </c>
      <c r="B14" s="80" t="s">
        <v>43</v>
      </c>
      <c r="C14" s="81">
        <v>0.41699999999999998</v>
      </c>
      <c r="D14" s="80" t="s">
        <v>15</v>
      </c>
      <c r="E14" s="82" t="s">
        <v>238</v>
      </c>
    </row>
    <row r="15" spans="1:13" x14ac:dyDescent="0.3">
      <c r="A15" s="80">
        <v>14</v>
      </c>
      <c r="B15" s="80" t="s">
        <v>44</v>
      </c>
      <c r="C15" s="81">
        <v>0.33300000000000002</v>
      </c>
      <c r="D15" s="80" t="s">
        <v>15</v>
      </c>
      <c r="E15" s="83" t="s">
        <v>242</v>
      </c>
    </row>
    <row r="16" spans="1:13" x14ac:dyDescent="0.3">
      <c r="A16" s="80">
        <v>15</v>
      </c>
      <c r="B16" s="80" t="s">
        <v>46</v>
      </c>
      <c r="C16" s="81">
        <v>0.5</v>
      </c>
      <c r="D16" s="80" t="s">
        <v>15</v>
      </c>
      <c r="E16" s="82" t="s">
        <v>238</v>
      </c>
    </row>
    <row r="17" spans="1:5" x14ac:dyDescent="0.3">
      <c r="A17" s="80">
        <v>16</v>
      </c>
      <c r="B17" s="80" t="s">
        <v>52</v>
      </c>
      <c r="C17" s="81">
        <v>0.41699999999999998</v>
      </c>
      <c r="D17" s="80" t="s">
        <v>15</v>
      </c>
      <c r="E17" s="82" t="s">
        <v>238</v>
      </c>
    </row>
    <row r="18" spans="1:5" x14ac:dyDescent="0.3">
      <c r="A18" s="80">
        <v>17</v>
      </c>
      <c r="B18" s="80" t="s">
        <v>53</v>
      </c>
      <c r="C18" s="81">
        <v>0.5</v>
      </c>
      <c r="D18" s="80" t="s">
        <v>15</v>
      </c>
      <c r="E18" s="82" t="s">
        <v>238</v>
      </c>
    </row>
    <row r="19" spans="1:5" x14ac:dyDescent="0.3">
      <c r="A19" s="80">
        <v>18</v>
      </c>
      <c r="B19" s="80" t="s">
        <v>54</v>
      </c>
      <c r="C19" s="81">
        <v>0.47899999999999998</v>
      </c>
      <c r="D19" s="80" t="s">
        <v>15</v>
      </c>
      <c r="E19" s="82" t="s">
        <v>238</v>
      </c>
    </row>
    <row r="20" spans="1:5" x14ac:dyDescent="0.3">
      <c r="A20" s="80">
        <v>19</v>
      </c>
      <c r="B20" s="80" t="s">
        <v>55</v>
      </c>
      <c r="C20" s="81">
        <v>0.375</v>
      </c>
      <c r="D20" s="80" t="s">
        <v>15</v>
      </c>
      <c r="E20" s="83" t="s">
        <v>242</v>
      </c>
    </row>
    <row r="21" spans="1:5" x14ac:dyDescent="0.3">
      <c r="A21" s="80">
        <v>20</v>
      </c>
      <c r="B21" s="80" t="s">
        <v>56</v>
      </c>
      <c r="C21" s="81">
        <v>0.47899999999999998</v>
      </c>
      <c r="D21" s="80" t="s">
        <v>15</v>
      </c>
      <c r="E21" s="82" t="s">
        <v>238</v>
      </c>
    </row>
    <row r="22" spans="1:5" x14ac:dyDescent="0.3">
      <c r="A22" s="80">
        <v>21</v>
      </c>
      <c r="B22" s="80" t="s">
        <v>57</v>
      </c>
      <c r="C22" s="81">
        <v>0.54200000000000004</v>
      </c>
      <c r="D22" s="80" t="s">
        <v>15</v>
      </c>
      <c r="E22" s="82" t="s">
        <v>238</v>
      </c>
    </row>
    <row r="23" spans="1:5" x14ac:dyDescent="0.3">
      <c r="A23" s="80">
        <v>22</v>
      </c>
      <c r="B23" s="80" t="s">
        <v>58</v>
      </c>
      <c r="C23" s="81">
        <v>0.438</v>
      </c>
      <c r="D23" s="80" t="s">
        <v>15</v>
      </c>
      <c r="E23" s="82" t="s">
        <v>238</v>
      </c>
    </row>
    <row r="24" spans="1:5" x14ac:dyDescent="0.3">
      <c r="A24" s="80">
        <v>23</v>
      </c>
      <c r="B24" s="80" t="s">
        <v>59</v>
      </c>
      <c r="C24" s="81">
        <v>0.438</v>
      </c>
      <c r="D24" s="80" t="s">
        <v>15</v>
      </c>
      <c r="E24" s="82" t="s">
        <v>238</v>
      </c>
    </row>
    <row r="25" spans="1:5" x14ac:dyDescent="0.3">
      <c r="A25" s="80">
        <v>24</v>
      </c>
      <c r="B25" s="80" t="s">
        <v>60</v>
      </c>
      <c r="C25" s="81">
        <v>0.52100000000000002</v>
      </c>
      <c r="D25" s="80" t="s">
        <v>15</v>
      </c>
      <c r="E25" s="82" t="s">
        <v>238</v>
      </c>
    </row>
    <row r="26" spans="1:5" x14ac:dyDescent="0.3">
      <c r="A26" s="80">
        <v>25</v>
      </c>
      <c r="B26" s="80" t="s">
        <v>61</v>
      </c>
      <c r="C26" s="81">
        <v>0.39600000000000002</v>
      </c>
      <c r="D26" s="80" t="s">
        <v>15</v>
      </c>
      <c r="E26" s="83" t="s">
        <v>242</v>
      </c>
    </row>
    <row r="27" spans="1:5" x14ac:dyDescent="0.3">
      <c r="A27" s="80">
        <v>26</v>
      </c>
      <c r="B27" s="80" t="s">
        <v>62</v>
      </c>
      <c r="C27" s="81">
        <v>0.52100000000000002</v>
      </c>
      <c r="D27" s="80" t="s">
        <v>15</v>
      </c>
      <c r="E27" s="82" t="s">
        <v>238</v>
      </c>
    </row>
    <row r="28" spans="1:5" x14ac:dyDescent="0.3">
      <c r="A28" s="80">
        <v>27</v>
      </c>
      <c r="B28" s="80" t="s">
        <v>63</v>
      </c>
      <c r="C28" s="81">
        <v>0.5</v>
      </c>
      <c r="D28" s="80" t="s">
        <v>15</v>
      </c>
      <c r="E28" s="82" t="s">
        <v>238</v>
      </c>
    </row>
    <row r="29" spans="1:5" x14ac:dyDescent="0.3">
      <c r="A29" s="80">
        <v>28</v>
      </c>
      <c r="B29" s="80" t="s">
        <v>64</v>
      </c>
      <c r="C29" s="81">
        <v>0.45800000000000002</v>
      </c>
      <c r="D29" s="80" t="s">
        <v>15</v>
      </c>
      <c r="E29" s="82" t="s">
        <v>238</v>
      </c>
    </row>
    <row r="30" spans="1:5" x14ac:dyDescent="0.3">
      <c r="A30" s="80">
        <v>29</v>
      </c>
      <c r="B30" s="80" t="s">
        <v>65</v>
      </c>
      <c r="C30" s="81">
        <v>0.52100000000000002</v>
      </c>
      <c r="D30" s="80" t="s">
        <v>15</v>
      </c>
      <c r="E30" s="82" t="s">
        <v>238</v>
      </c>
    </row>
    <row r="31" spans="1:5" x14ac:dyDescent="0.3">
      <c r="A31" s="80">
        <v>30</v>
      </c>
      <c r="B31" s="80" t="s">
        <v>66</v>
      </c>
      <c r="C31" s="81">
        <v>0.5</v>
      </c>
      <c r="D31" s="80" t="s">
        <v>15</v>
      </c>
      <c r="E31" s="82" t="s">
        <v>238</v>
      </c>
    </row>
    <row r="32" spans="1:5" x14ac:dyDescent="0.3">
      <c r="A32" s="80">
        <v>31</v>
      </c>
      <c r="B32" s="80" t="s">
        <v>67</v>
      </c>
      <c r="C32" s="81">
        <v>0.54200000000000004</v>
      </c>
      <c r="D32" s="80" t="s">
        <v>15</v>
      </c>
      <c r="E32" s="82" t="s">
        <v>238</v>
      </c>
    </row>
    <row r="33" spans="1:5" x14ac:dyDescent="0.3">
      <c r="A33" s="80">
        <v>32</v>
      </c>
      <c r="B33" s="80" t="s">
        <v>68</v>
      </c>
      <c r="C33" s="81">
        <v>0.41699999999999998</v>
      </c>
      <c r="D33" s="80" t="s">
        <v>15</v>
      </c>
      <c r="E33" s="82" t="s">
        <v>238</v>
      </c>
    </row>
    <row r="34" spans="1:5" x14ac:dyDescent="0.3">
      <c r="A34" s="80">
        <v>33</v>
      </c>
      <c r="B34" s="80" t="s">
        <v>69</v>
      </c>
      <c r="C34" s="81">
        <v>0.47899999999999998</v>
      </c>
      <c r="D34" s="80" t="s">
        <v>15</v>
      </c>
      <c r="E34" s="82" t="s">
        <v>238</v>
      </c>
    </row>
    <row r="35" spans="1:5" x14ac:dyDescent="0.3">
      <c r="A35" s="80">
        <v>34</v>
      </c>
      <c r="B35" s="80" t="s">
        <v>70</v>
      </c>
      <c r="C35" s="81">
        <v>0.33300000000000002</v>
      </c>
      <c r="D35" s="80" t="s">
        <v>15</v>
      </c>
      <c r="E35" s="83" t="s">
        <v>242</v>
      </c>
    </row>
    <row r="36" spans="1:5" x14ac:dyDescent="0.3">
      <c r="A36" s="80">
        <v>35</v>
      </c>
      <c r="B36" s="80" t="s">
        <v>71</v>
      </c>
      <c r="C36" s="81">
        <v>0.47899999999999998</v>
      </c>
      <c r="D36" s="80" t="s">
        <v>15</v>
      </c>
      <c r="E36" s="82" t="s">
        <v>238</v>
      </c>
    </row>
    <row r="37" spans="1:5" x14ac:dyDescent="0.3">
      <c r="A37" s="80">
        <v>36</v>
      </c>
      <c r="B37" s="80" t="s">
        <v>72</v>
      </c>
      <c r="C37" s="81">
        <v>0.39600000000000002</v>
      </c>
      <c r="D37" s="80" t="s">
        <v>15</v>
      </c>
      <c r="E37" s="83" t="s">
        <v>242</v>
      </c>
    </row>
    <row r="38" spans="1:5" x14ac:dyDescent="0.3">
      <c r="A38" s="80">
        <v>37</v>
      </c>
      <c r="B38" s="80" t="s">
        <v>73</v>
      </c>
      <c r="C38" s="81">
        <v>0.39600000000000002</v>
      </c>
      <c r="D38" s="80" t="s">
        <v>15</v>
      </c>
      <c r="E38" s="83" t="s">
        <v>242</v>
      </c>
    </row>
    <row r="39" spans="1:5" x14ac:dyDescent="0.3">
      <c r="A39" s="80">
        <v>38</v>
      </c>
      <c r="B39" s="80" t="s">
        <v>74</v>
      </c>
      <c r="C39" s="81">
        <v>0.375</v>
      </c>
      <c r="D39" s="80" t="s">
        <v>15</v>
      </c>
      <c r="E39" s="83" t="s">
        <v>242</v>
      </c>
    </row>
    <row r="40" spans="1:5" x14ac:dyDescent="0.3">
      <c r="A40" s="80">
        <v>39</v>
      </c>
      <c r="B40" s="80" t="s">
        <v>75</v>
      </c>
      <c r="C40" s="81">
        <v>0.39600000000000002</v>
      </c>
      <c r="D40" s="80" t="s">
        <v>15</v>
      </c>
      <c r="E40" s="83" t="s">
        <v>242</v>
      </c>
    </row>
    <row r="41" spans="1:5" x14ac:dyDescent="0.3">
      <c r="A41" s="80">
        <v>40</v>
      </c>
      <c r="B41" s="80" t="s">
        <v>76</v>
      </c>
      <c r="C41" s="81">
        <v>0.5</v>
      </c>
      <c r="D41" s="80" t="s">
        <v>15</v>
      </c>
      <c r="E41" s="82" t="s">
        <v>238</v>
      </c>
    </row>
    <row r="42" spans="1:5" x14ac:dyDescent="0.3">
      <c r="A42" s="80">
        <v>41</v>
      </c>
      <c r="B42" s="80" t="s">
        <v>77</v>
      </c>
      <c r="C42" s="81">
        <v>0.41699999999999998</v>
      </c>
      <c r="D42" s="80" t="s">
        <v>15</v>
      </c>
      <c r="E42" s="82" t="s">
        <v>238</v>
      </c>
    </row>
    <row r="43" spans="1:5" x14ac:dyDescent="0.3">
      <c r="A43" s="80">
        <v>42</v>
      </c>
      <c r="B43" s="80" t="s">
        <v>78</v>
      </c>
      <c r="C43" s="81">
        <v>0.41699999999999998</v>
      </c>
      <c r="D43" s="80" t="s">
        <v>15</v>
      </c>
      <c r="E43" s="82" t="s">
        <v>238</v>
      </c>
    </row>
    <row r="44" spans="1:5" x14ac:dyDescent="0.3">
      <c r="A44" s="80">
        <v>43</v>
      </c>
      <c r="B44" s="80" t="s">
        <v>79</v>
      </c>
      <c r="C44" s="81">
        <v>0.41699999999999998</v>
      </c>
      <c r="D44" s="80" t="s">
        <v>15</v>
      </c>
      <c r="E44" s="82" t="s">
        <v>238</v>
      </c>
    </row>
    <row r="45" spans="1:5" x14ac:dyDescent="0.3">
      <c r="A45" s="80">
        <v>44</v>
      </c>
      <c r="B45" s="80" t="s">
        <v>80</v>
      </c>
      <c r="C45" s="81">
        <v>0.5</v>
      </c>
      <c r="D45" s="80" t="s">
        <v>15</v>
      </c>
      <c r="E45" s="82" t="s">
        <v>238</v>
      </c>
    </row>
    <row r="46" spans="1:5" x14ac:dyDescent="0.3">
      <c r="A46" s="80">
        <v>45</v>
      </c>
      <c r="B46" s="80" t="s">
        <v>81</v>
      </c>
      <c r="C46" s="81">
        <v>0.68799999999999994</v>
      </c>
      <c r="D46" s="80" t="s">
        <v>25</v>
      </c>
      <c r="E46" s="83" t="s">
        <v>242</v>
      </c>
    </row>
    <row r="47" spans="1:5" x14ac:dyDescent="0.3">
      <c r="A47" s="80">
        <v>46</v>
      </c>
      <c r="B47" s="80" t="s">
        <v>82</v>
      </c>
      <c r="C47" s="81">
        <v>0.83299999999999996</v>
      </c>
      <c r="D47" s="80" t="s">
        <v>25</v>
      </c>
      <c r="E47" s="82" t="s">
        <v>238</v>
      </c>
    </row>
    <row r="48" spans="1:5" x14ac:dyDescent="0.3">
      <c r="A48" s="80">
        <v>47</v>
      </c>
      <c r="B48" s="80" t="s">
        <v>83</v>
      </c>
      <c r="C48" s="81">
        <v>0.875</v>
      </c>
      <c r="D48" s="80" t="s">
        <v>25</v>
      </c>
      <c r="E48" s="82" t="s">
        <v>238</v>
      </c>
    </row>
    <row r="49" spans="1:5" x14ac:dyDescent="0.3">
      <c r="A49" s="80">
        <v>48</v>
      </c>
      <c r="B49" s="80" t="s">
        <v>84</v>
      </c>
      <c r="C49" s="81">
        <v>0.66700000000000004</v>
      </c>
      <c r="D49" s="80" t="s">
        <v>25</v>
      </c>
      <c r="E49" s="83" t="s">
        <v>242</v>
      </c>
    </row>
    <row r="50" spans="1:5" x14ac:dyDescent="0.3">
      <c r="A50" s="80">
        <v>49</v>
      </c>
      <c r="B50" s="80" t="s">
        <v>85</v>
      </c>
      <c r="C50" s="81">
        <v>0.75</v>
      </c>
      <c r="D50" s="80" t="s">
        <v>25</v>
      </c>
      <c r="E50" s="83" t="s">
        <v>242</v>
      </c>
    </row>
    <row r="51" spans="1:5" x14ac:dyDescent="0.3">
      <c r="A51" s="80">
        <v>50</v>
      </c>
      <c r="B51" s="80" t="s">
        <v>86</v>
      </c>
      <c r="C51" s="81">
        <v>1</v>
      </c>
      <c r="D51" s="80" t="s">
        <v>25</v>
      </c>
      <c r="E51" s="84" t="s">
        <v>243</v>
      </c>
    </row>
    <row r="52" spans="1:5" x14ac:dyDescent="0.3">
      <c r="A52" s="80">
        <v>51</v>
      </c>
      <c r="B52" s="80" t="s">
        <v>87</v>
      </c>
      <c r="C52" s="81">
        <v>0.68799999999999994</v>
      </c>
      <c r="D52" s="80" t="s">
        <v>25</v>
      </c>
      <c r="E52" s="83" t="s">
        <v>242</v>
      </c>
    </row>
    <row r="53" spans="1:5" x14ac:dyDescent="0.3">
      <c r="A53" s="80">
        <v>52</v>
      </c>
      <c r="B53" s="80" t="s">
        <v>88</v>
      </c>
      <c r="C53" s="81">
        <v>0.66700000000000004</v>
      </c>
      <c r="D53" s="80" t="s">
        <v>25</v>
      </c>
      <c r="E53" s="83" t="s">
        <v>242</v>
      </c>
    </row>
    <row r="54" spans="1:5" x14ac:dyDescent="0.3">
      <c r="A54" s="80">
        <v>53</v>
      </c>
      <c r="B54" s="80" t="s">
        <v>89</v>
      </c>
      <c r="C54" s="81">
        <v>0.95799999999999996</v>
      </c>
      <c r="D54" s="80" t="s">
        <v>25</v>
      </c>
      <c r="E54" s="84" t="s">
        <v>243</v>
      </c>
    </row>
    <row r="55" spans="1:5" x14ac:dyDescent="0.3">
      <c r="A55" s="80">
        <v>54</v>
      </c>
      <c r="B55" s="80" t="s">
        <v>90</v>
      </c>
      <c r="C55" s="81">
        <v>0.85399999999999998</v>
      </c>
      <c r="D55" s="80" t="s">
        <v>25</v>
      </c>
      <c r="E55" s="82" t="s">
        <v>238</v>
      </c>
    </row>
    <row r="56" spans="1:5" x14ac:dyDescent="0.3">
      <c r="A56" s="80">
        <v>55</v>
      </c>
      <c r="B56" s="80" t="s">
        <v>91</v>
      </c>
      <c r="C56" s="81">
        <v>0.89600000000000002</v>
      </c>
      <c r="D56" s="80" t="s">
        <v>25</v>
      </c>
      <c r="E56" s="84" t="s">
        <v>243</v>
      </c>
    </row>
    <row r="57" spans="1:5" x14ac:dyDescent="0.3">
      <c r="A57" s="80">
        <v>56</v>
      </c>
      <c r="B57" s="80" t="s">
        <v>92</v>
      </c>
      <c r="C57" s="81">
        <v>0.89600000000000002</v>
      </c>
      <c r="D57" s="80" t="s">
        <v>25</v>
      </c>
      <c r="E57" s="84" t="s">
        <v>243</v>
      </c>
    </row>
    <row r="58" spans="1:5" x14ac:dyDescent="0.3">
      <c r="A58" s="80">
        <v>57</v>
      </c>
      <c r="B58" s="80" t="s">
        <v>93</v>
      </c>
      <c r="C58" s="81">
        <v>0.70799999999999996</v>
      </c>
      <c r="D58" s="80" t="s">
        <v>25</v>
      </c>
      <c r="E58" s="83" t="s">
        <v>242</v>
      </c>
    </row>
    <row r="59" spans="1:5" x14ac:dyDescent="0.3">
      <c r="A59" s="80">
        <v>58</v>
      </c>
      <c r="B59" s="80" t="s">
        <v>94</v>
      </c>
      <c r="C59" s="81">
        <v>0.93799999999999994</v>
      </c>
      <c r="D59" s="80" t="s">
        <v>25</v>
      </c>
      <c r="E59" s="84" t="s">
        <v>243</v>
      </c>
    </row>
    <row r="60" spans="1:5" x14ac:dyDescent="0.3">
      <c r="A60" s="80">
        <v>59</v>
      </c>
      <c r="B60" s="80" t="s">
        <v>95</v>
      </c>
      <c r="C60" s="81">
        <v>0.95799999999999996</v>
      </c>
      <c r="D60" s="80" t="s">
        <v>25</v>
      </c>
      <c r="E60" s="84" t="s">
        <v>243</v>
      </c>
    </row>
    <row r="61" spans="1:5" x14ac:dyDescent="0.3">
      <c r="A61" s="80">
        <v>60</v>
      </c>
      <c r="B61" s="80" t="s">
        <v>96</v>
      </c>
      <c r="C61" s="81">
        <v>0.97899999999999998</v>
      </c>
      <c r="D61" s="80" t="s">
        <v>25</v>
      </c>
      <c r="E61" s="84" t="s">
        <v>243</v>
      </c>
    </row>
    <row r="62" spans="1:5" x14ac:dyDescent="0.3">
      <c r="A62" s="80">
        <v>61</v>
      </c>
      <c r="B62" s="80" t="s">
        <v>97</v>
      </c>
      <c r="C62" s="81">
        <v>0.68799999999999994</v>
      </c>
      <c r="D62" s="80" t="s">
        <v>25</v>
      </c>
      <c r="E62" s="83" t="s">
        <v>242</v>
      </c>
    </row>
    <row r="63" spans="1:5" x14ac:dyDescent="0.3">
      <c r="A63" s="80">
        <v>62</v>
      </c>
      <c r="B63" s="80" t="s">
        <v>98</v>
      </c>
      <c r="C63" s="81">
        <v>0.68799999999999994</v>
      </c>
      <c r="D63" s="80" t="s">
        <v>25</v>
      </c>
      <c r="E63" s="83" t="s">
        <v>242</v>
      </c>
    </row>
    <row r="64" spans="1:5" x14ac:dyDescent="0.3">
      <c r="A64" s="80">
        <v>63</v>
      </c>
      <c r="B64" s="80" t="s">
        <v>99</v>
      </c>
      <c r="C64" s="81">
        <v>0.77100000000000002</v>
      </c>
      <c r="D64" s="80" t="s">
        <v>25</v>
      </c>
      <c r="E64" s="82" t="s">
        <v>238</v>
      </c>
    </row>
    <row r="65" spans="1:5" x14ac:dyDescent="0.3">
      <c r="A65" s="80">
        <v>64</v>
      </c>
      <c r="B65" s="80" t="s">
        <v>100</v>
      </c>
      <c r="C65" s="81">
        <v>0.93799999999999994</v>
      </c>
      <c r="D65" s="80" t="s">
        <v>25</v>
      </c>
      <c r="E65" s="84" t="s">
        <v>243</v>
      </c>
    </row>
    <row r="66" spans="1:5" x14ac:dyDescent="0.3">
      <c r="A66" s="80">
        <v>65</v>
      </c>
      <c r="B66" s="80" t="s">
        <v>101</v>
      </c>
      <c r="C66" s="81">
        <v>0.72899999999999998</v>
      </c>
      <c r="D66" s="80" t="s">
        <v>25</v>
      </c>
      <c r="E66" s="83" t="s">
        <v>242</v>
      </c>
    </row>
    <row r="67" spans="1:5" x14ac:dyDescent="0.3">
      <c r="A67" s="80">
        <v>66</v>
      </c>
      <c r="B67" s="80" t="s">
        <v>102</v>
      </c>
      <c r="C67" s="81">
        <v>0.83299999999999996</v>
      </c>
      <c r="D67" s="80" t="s">
        <v>25</v>
      </c>
      <c r="E67" s="82" t="s">
        <v>238</v>
      </c>
    </row>
    <row r="68" spans="1:5" x14ac:dyDescent="0.3">
      <c r="A68" s="80">
        <v>67</v>
      </c>
      <c r="B68" s="80" t="s">
        <v>103</v>
      </c>
      <c r="C68" s="81">
        <v>1</v>
      </c>
      <c r="D68" s="80" t="s">
        <v>25</v>
      </c>
      <c r="E68" s="84" t="s">
        <v>243</v>
      </c>
    </row>
    <row r="69" spans="1:5" x14ac:dyDescent="0.3">
      <c r="A69" s="80">
        <v>68</v>
      </c>
      <c r="B69" s="80" t="s">
        <v>104</v>
      </c>
      <c r="C69" s="81">
        <v>0.77100000000000002</v>
      </c>
      <c r="D69" s="80" t="s">
        <v>25</v>
      </c>
      <c r="E69" s="82" t="s">
        <v>238</v>
      </c>
    </row>
    <row r="70" spans="1:5" x14ac:dyDescent="0.3">
      <c r="A70" s="80">
        <v>69</v>
      </c>
      <c r="B70" s="80" t="s">
        <v>105</v>
      </c>
      <c r="C70" s="81">
        <v>0.75</v>
      </c>
      <c r="D70" s="80" t="s">
        <v>25</v>
      </c>
      <c r="E70" s="83" t="s">
        <v>242</v>
      </c>
    </row>
    <row r="71" spans="1:5" x14ac:dyDescent="0.3">
      <c r="A71" s="80">
        <v>70</v>
      </c>
      <c r="B71" s="80" t="s">
        <v>106</v>
      </c>
      <c r="C71" s="81">
        <v>0.91700000000000004</v>
      </c>
      <c r="D71" s="80" t="s">
        <v>25</v>
      </c>
      <c r="E71" s="84" t="s">
        <v>243</v>
      </c>
    </row>
    <row r="72" spans="1:5" x14ac:dyDescent="0.3">
      <c r="A72" s="80">
        <v>71</v>
      </c>
      <c r="B72" s="80" t="s">
        <v>107</v>
      </c>
      <c r="C72" s="81">
        <v>0.93799999999999994</v>
      </c>
      <c r="D72" s="80" t="s">
        <v>25</v>
      </c>
      <c r="E72" s="84" t="s">
        <v>243</v>
      </c>
    </row>
    <row r="73" spans="1:5" x14ac:dyDescent="0.3">
      <c r="A73" s="80">
        <v>72</v>
      </c>
      <c r="B73" s="80" t="s">
        <v>108</v>
      </c>
      <c r="C73" s="81">
        <v>0.91700000000000004</v>
      </c>
      <c r="D73" s="80" t="s">
        <v>25</v>
      </c>
      <c r="E73" s="84" t="s">
        <v>243</v>
      </c>
    </row>
    <row r="74" spans="1:5" x14ac:dyDescent="0.3">
      <c r="A74" s="80">
        <v>73</v>
      </c>
      <c r="B74" s="80" t="s">
        <v>109</v>
      </c>
      <c r="C74" s="81">
        <v>0.72899999999999998</v>
      </c>
      <c r="D74" s="80" t="s">
        <v>25</v>
      </c>
      <c r="E74" s="83" t="s">
        <v>242</v>
      </c>
    </row>
    <row r="75" spans="1:5" x14ac:dyDescent="0.3">
      <c r="A75" s="80">
        <v>74</v>
      </c>
      <c r="B75" s="80" t="s">
        <v>110</v>
      </c>
      <c r="C75" s="81">
        <v>0.66700000000000004</v>
      </c>
      <c r="D75" s="80" t="s">
        <v>25</v>
      </c>
      <c r="E75" s="83" t="s">
        <v>242</v>
      </c>
    </row>
    <row r="76" spans="1:5" x14ac:dyDescent="0.3">
      <c r="A76" s="80">
        <v>75</v>
      </c>
      <c r="B76" s="80" t="s">
        <v>111</v>
      </c>
      <c r="C76" s="81">
        <v>0.93799999999999994</v>
      </c>
      <c r="D76" s="80" t="s">
        <v>25</v>
      </c>
      <c r="E76" s="84" t="s">
        <v>243</v>
      </c>
    </row>
    <row r="77" spans="1:5" x14ac:dyDescent="0.3">
      <c r="A77" s="80">
        <v>76</v>
      </c>
      <c r="B77" s="80" t="s">
        <v>112</v>
      </c>
      <c r="C77" s="81">
        <v>0.70799999999999996</v>
      </c>
      <c r="D77" s="80" t="s">
        <v>25</v>
      </c>
      <c r="E77" s="83" t="s">
        <v>242</v>
      </c>
    </row>
    <row r="78" spans="1:5" x14ac:dyDescent="0.3">
      <c r="A78" s="80">
        <v>77</v>
      </c>
      <c r="B78" s="80" t="s">
        <v>113</v>
      </c>
      <c r="C78" s="81">
        <v>0.93799999999999994</v>
      </c>
      <c r="D78" s="80" t="s">
        <v>25</v>
      </c>
      <c r="E78" s="84" t="s">
        <v>243</v>
      </c>
    </row>
    <row r="79" spans="1:5" x14ac:dyDescent="0.3">
      <c r="A79" s="80">
        <v>78</v>
      </c>
      <c r="B79" s="80" t="s">
        <v>114</v>
      </c>
      <c r="C79" s="81">
        <v>0.77100000000000002</v>
      </c>
      <c r="D79" s="80" t="s">
        <v>25</v>
      </c>
      <c r="E79" s="82" t="s">
        <v>238</v>
      </c>
    </row>
    <row r="80" spans="1:5" x14ac:dyDescent="0.3">
      <c r="A80" s="80">
        <v>79</v>
      </c>
      <c r="B80" s="80" t="s">
        <v>115</v>
      </c>
      <c r="C80" s="81">
        <v>0.93799999999999994</v>
      </c>
      <c r="D80" s="80" t="s">
        <v>25</v>
      </c>
      <c r="E80" s="84" t="s">
        <v>243</v>
      </c>
    </row>
    <row r="81" spans="1:5" x14ac:dyDescent="0.3">
      <c r="A81" s="80">
        <v>80</v>
      </c>
      <c r="B81" s="80" t="s">
        <v>116</v>
      </c>
      <c r="C81" s="81">
        <v>0.875</v>
      </c>
      <c r="D81" s="80" t="s">
        <v>25</v>
      </c>
      <c r="E81" s="82" t="s">
        <v>238</v>
      </c>
    </row>
    <row r="82" spans="1:5" x14ac:dyDescent="0.3">
      <c r="A82" s="80">
        <v>81</v>
      </c>
      <c r="B82" s="80" t="s">
        <v>117</v>
      </c>
      <c r="C82" s="81">
        <v>0.75</v>
      </c>
      <c r="D82" s="80" t="s">
        <v>25</v>
      </c>
      <c r="E82" s="83" t="s">
        <v>242</v>
      </c>
    </row>
    <row r="83" spans="1:5" x14ac:dyDescent="0.3">
      <c r="A83" s="80">
        <v>82</v>
      </c>
      <c r="B83" s="80" t="s">
        <v>118</v>
      </c>
      <c r="C83" s="81">
        <v>0.66700000000000004</v>
      </c>
      <c r="D83" s="80" t="s">
        <v>25</v>
      </c>
      <c r="E83" s="83" t="s">
        <v>242</v>
      </c>
    </row>
    <row r="84" spans="1:5" x14ac:dyDescent="0.3">
      <c r="A84" s="80">
        <v>83</v>
      </c>
      <c r="B84" s="80" t="s">
        <v>119</v>
      </c>
      <c r="C84" s="81">
        <v>0.93799999999999994</v>
      </c>
      <c r="D84" s="80" t="s">
        <v>25</v>
      </c>
      <c r="E84" s="84" t="s">
        <v>243</v>
      </c>
    </row>
    <row r="85" spans="1:5" x14ac:dyDescent="0.3">
      <c r="A85" s="80">
        <v>84</v>
      </c>
      <c r="B85" s="80" t="s">
        <v>120</v>
      </c>
      <c r="C85" s="81">
        <v>0.93799999999999994</v>
      </c>
      <c r="D85" s="80" t="s">
        <v>25</v>
      </c>
      <c r="E85" s="84" t="s">
        <v>243</v>
      </c>
    </row>
    <row r="86" spans="1:5" x14ac:dyDescent="0.3">
      <c r="A86" s="80">
        <v>85</v>
      </c>
      <c r="B86" s="80" t="s">
        <v>121</v>
      </c>
      <c r="C86" s="81">
        <v>0.91700000000000004</v>
      </c>
      <c r="D86" s="80" t="s">
        <v>25</v>
      </c>
      <c r="E86" s="84" t="s">
        <v>243</v>
      </c>
    </row>
    <row r="87" spans="1:5" x14ac:dyDescent="0.3">
      <c r="A87" s="80">
        <v>86</v>
      </c>
      <c r="B87" s="80" t="s">
        <v>122</v>
      </c>
      <c r="C87" s="81">
        <v>0.97899999999999998</v>
      </c>
      <c r="D87" s="80" t="s">
        <v>25</v>
      </c>
      <c r="E87" s="84" t="s">
        <v>243</v>
      </c>
    </row>
    <row r="88" spans="1:5" x14ac:dyDescent="0.3">
      <c r="A88" s="80">
        <v>87</v>
      </c>
      <c r="B88" s="80" t="s">
        <v>123</v>
      </c>
      <c r="C88" s="81">
        <v>0.83299999999999996</v>
      </c>
      <c r="D88" s="80" t="s">
        <v>25</v>
      </c>
      <c r="E88" s="82" t="s">
        <v>238</v>
      </c>
    </row>
    <row r="89" spans="1:5" x14ac:dyDescent="0.3">
      <c r="A89" s="80">
        <v>88</v>
      </c>
      <c r="B89" s="80" t="s">
        <v>124</v>
      </c>
      <c r="C89" s="81">
        <v>0.81200000000000006</v>
      </c>
      <c r="D89" s="80" t="s">
        <v>25</v>
      </c>
      <c r="E89" s="82" t="s">
        <v>238</v>
      </c>
    </row>
    <row r="90" spans="1:5" x14ac:dyDescent="0.3">
      <c r="A90" s="80">
        <v>89</v>
      </c>
      <c r="B90" s="80" t="s">
        <v>125</v>
      </c>
      <c r="C90" s="81">
        <v>0.81200000000000006</v>
      </c>
      <c r="D90" s="80" t="s">
        <v>25</v>
      </c>
      <c r="E90" s="82" t="s">
        <v>238</v>
      </c>
    </row>
    <row r="91" spans="1:5" x14ac:dyDescent="0.3">
      <c r="A91" s="80">
        <v>90</v>
      </c>
      <c r="B91" s="80" t="s">
        <v>126</v>
      </c>
      <c r="C91" s="81">
        <v>0.66700000000000004</v>
      </c>
      <c r="D91" s="80" t="s">
        <v>25</v>
      </c>
      <c r="E91" s="83" t="s">
        <v>242</v>
      </c>
    </row>
    <row r="92" spans="1:5" x14ac:dyDescent="0.3">
      <c r="A92" s="80">
        <v>91</v>
      </c>
      <c r="B92" s="80" t="s">
        <v>127</v>
      </c>
      <c r="C92" s="81">
        <v>0.95799999999999996</v>
      </c>
      <c r="D92" s="80" t="s">
        <v>25</v>
      </c>
      <c r="E92" s="84" t="s">
        <v>243</v>
      </c>
    </row>
    <row r="93" spans="1:5" x14ac:dyDescent="0.3">
      <c r="A93" s="80">
        <v>92</v>
      </c>
      <c r="B93" s="80" t="s">
        <v>128</v>
      </c>
      <c r="C93" s="81">
        <v>0.95799999999999996</v>
      </c>
      <c r="D93" s="80" t="s">
        <v>25</v>
      </c>
      <c r="E93" s="84" t="s">
        <v>243</v>
      </c>
    </row>
    <row r="94" spans="1:5" x14ac:dyDescent="0.3">
      <c r="A94" s="80">
        <v>93</v>
      </c>
      <c r="B94" s="80" t="s">
        <v>129</v>
      </c>
      <c r="C94" s="81">
        <v>0.97899999999999998</v>
      </c>
      <c r="D94" s="80" t="s">
        <v>25</v>
      </c>
      <c r="E94" s="84" t="s">
        <v>243</v>
      </c>
    </row>
    <row r="95" spans="1:5" x14ac:dyDescent="0.3">
      <c r="A95" s="80">
        <v>94</v>
      </c>
      <c r="B95" s="80" t="s">
        <v>130</v>
      </c>
      <c r="C95" s="81">
        <v>0.83299999999999996</v>
      </c>
      <c r="D95" s="80" t="s">
        <v>25</v>
      </c>
      <c r="E95" s="82" t="s">
        <v>238</v>
      </c>
    </row>
    <row r="96" spans="1:5" x14ac:dyDescent="0.3">
      <c r="A96" s="80">
        <v>95</v>
      </c>
      <c r="B96" s="80" t="s">
        <v>131</v>
      </c>
      <c r="C96" s="81">
        <v>1</v>
      </c>
      <c r="D96" s="80" t="s">
        <v>25</v>
      </c>
      <c r="E96" s="84" t="s">
        <v>243</v>
      </c>
    </row>
    <row r="97" spans="1:5" x14ac:dyDescent="0.3">
      <c r="A97" s="80">
        <v>96</v>
      </c>
      <c r="B97" s="80" t="s">
        <v>132</v>
      </c>
      <c r="C97" s="81">
        <v>0.66700000000000004</v>
      </c>
      <c r="D97" s="80" t="s">
        <v>25</v>
      </c>
      <c r="E97" s="83" t="s">
        <v>242</v>
      </c>
    </row>
    <row r="98" spans="1:5" x14ac:dyDescent="0.3">
      <c r="A98" s="80">
        <v>97</v>
      </c>
      <c r="B98" s="80" t="s">
        <v>133</v>
      </c>
      <c r="C98" s="81">
        <v>0.68799999999999994</v>
      </c>
      <c r="D98" s="80" t="s">
        <v>25</v>
      </c>
      <c r="E98" s="83" t="s">
        <v>242</v>
      </c>
    </row>
    <row r="99" spans="1:5" x14ac:dyDescent="0.3">
      <c r="A99" s="80">
        <v>98</v>
      </c>
      <c r="B99" s="80" t="s">
        <v>134</v>
      </c>
      <c r="C99" s="81">
        <v>0.97899999999999998</v>
      </c>
      <c r="D99" s="80" t="s">
        <v>25</v>
      </c>
      <c r="E99" s="84" t="s">
        <v>243</v>
      </c>
    </row>
    <row r="100" spans="1:5" x14ac:dyDescent="0.3">
      <c r="A100" s="80">
        <v>99</v>
      </c>
      <c r="B100" s="80" t="s">
        <v>135</v>
      </c>
      <c r="C100" s="81">
        <v>0.95799999999999996</v>
      </c>
      <c r="D100" s="80" t="s">
        <v>25</v>
      </c>
      <c r="E100" s="84" t="s">
        <v>243</v>
      </c>
    </row>
    <row r="101" spans="1:5" x14ac:dyDescent="0.3">
      <c r="A101" s="80">
        <v>100</v>
      </c>
      <c r="B101" s="80" t="s">
        <v>136</v>
      </c>
      <c r="C101" s="81">
        <v>0.83299999999999996</v>
      </c>
      <c r="D101" s="80" t="s">
        <v>25</v>
      </c>
      <c r="E101" s="82" t="s">
        <v>238</v>
      </c>
    </row>
    <row r="102" spans="1:5" x14ac:dyDescent="0.3">
      <c r="A102" s="80">
        <v>101</v>
      </c>
      <c r="B102" s="80" t="s">
        <v>137</v>
      </c>
      <c r="C102" s="81">
        <v>0.95799999999999996</v>
      </c>
      <c r="D102" s="80" t="s">
        <v>25</v>
      </c>
      <c r="E102" s="84" t="s">
        <v>243</v>
      </c>
    </row>
    <row r="103" spans="1:5" x14ac:dyDescent="0.3">
      <c r="A103" s="80">
        <v>102</v>
      </c>
      <c r="B103" s="80" t="s">
        <v>138</v>
      </c>
      <c r="C103" s="81">
        <v>0.72899999999999998</v>
      </c>
      <c r="D103" s="80" t="s">
        <v>25</v>
      </c>
      <c r="E103" s="83" t="s">
        <v>242</v>
      </c>
    </row>
    <row r="104" spans="1:5" x14ac:dyDescent="0.3">
      <c r="A104" s="80">
        <v>103</v>
      </c>
      <c r="B104" s="80" t="s">
        <v>139</v>
      </c>
      <c r="C104" s="81">
        <v>0.95799999999999996</v>
      </c>
      <c r="D104" s="80" t="s">
        <v>25</v>
      </c>
      <c r="E104" s="84" t="s">
        <v>243</v>
      </c>
    </row>
    <row r="105" spans="1:5" x14ac:dyDescent="0.3">
      <c r="A105" s="80">
        <v>104</v>
      </c>
      <c r="B105" s="80" t="s">
        <v>140</v>
      </c>
      <c r="C105" s="81">
        <v>0.72899999999999998</v>
      </c>
      <c r="D105" s="80" t="s">
        <v>25</v>
      </c>
      <c r="E105" s="83" t="s">
        <v>242</v>
      </c>
    </row>
    <row r="106" spans="1:5" x14ac:dyDescent="0.3">
      <c r="A106" s="80">
        <v>105</v>
      </c>
      <c r="B106" s="80" t="s">
        <v>141</v>
      </c>
      <c r="C106" s="81">
        <v>0.95799999999999996</v>
      </c>
      <c r="D106" s="80" t="s">
        <v>25</v>
      </c>
      <c r="E106" s="84" t="s">
        <v>243</v>
      </c>
    </row>
    <row r="107" spans="1:5" x14ac:dyDescent="0.3">
      <c r="A107" s="80">
        <v>106</v>
      </c>
      <c r="B107" s="80" t="s">
        <v>142</v>
      </c>
      <c r="C107" s="81">
        <v>0.81200000000000006</v>
      </c>
      <c r="D107" s="80" t="s">
        <v>25</v>
      </c>
      <c r="E107" s="82" t="s">
        <v>238</v>
      </c>
    </row>
    <row r="108" spans="1:5" x14ac:dyDescent="0.3">
      <c r="A108" s="80">
        <v>107</v>
      </c>
      <c r="B108" s="80" t="s">
        <v>143</v>
      </c>
      <c r="C108" s="81">
        <v>0.91700000000000004</v>
      </c>
      <c r="D108" s="80" t="s">
        <v>25</v>
      </c>
      <c r="E108" s="84" t="s">
        <v>243</v>
      </c>
    </row>
    <row r="109" spans="1:5" x14ac:dyDescent="0.3">
      <c r="A109" s="80">
        <v>108</v>
      </c>
      <c r="B109" s="80" t="s">
        <v>144</v>
      </c>
      <c r="C109" s="81">
        <v>0.95799999999999996</v>
      </c>
      <c r="D109" s="80" t="s">
        <v>25</v>
      </c>
      <c r="E109" s="84" t="s">
        <v>243</v>
      </c>
    </row>
    <row r="110" spans="1:5" x14ac:dyDescent="0.3">
      <c r="A110" s="80">
        <v>109</v>
      </c>
      <c r="B110" s="80" t="s">
        <v>145</v>
      </c>
      <c r="C110" s="81">
        <v>0.70799999999999996</v>
      </c>
      <c r="D110" s="80" t="s">
        <v>25</v>
      </c>
      <c r="E110" s="83" t="s">
        <v>242</v>
      </c>
    </row>
    <row r="111" spans="1:5" x14ac:dyDescent="0.3">
      <c r="A111" s="80">
        <v>110</v>
      </c>
      <c r="B111" s="80" t="s">
        <v>146</v>
      </c>
      <c r="C111" s="81">
        <v>0.66700000000000004</v>
      </c>
      <c r="D111" s="80" t="s">
        <v>25</v>
      </c>
      <c r="E111" s="83" t="s">
        <v>242</v>
      </c>
    </row>
    <row r="112" spans="1:5" x14ac:dyDescent="0.3">
      <c r="A112" s="80">
        <v>111</v>
      </c>
      <c r="B112" s="80" t="s">
        <v>147</v>
      </c>
      <c r="C112" s="81">
        <v>0.68799999999999994</v>
      </c>
      <c r="D112" s="80" t="s">
        <v>25</v>
      </c>
      <c r="E112" s="83" t="s">
        <v>242</v>
      </c>
    </row>
    <row r="113" spans="1:5" x14ac:dyDescent="0.3">
      <c r="A113" s="80">
        <v>112</v>
      </c>
      <c r="B113" s="80" t="s">
        <v>148</v>
      </c>
      <c r="C113" s="81">
        <v>0.97899999999999998</v>
      </c>
      <c r="D113" s="80" t="s">
        <v>25</v>
      </c>
      <c r="E113" s="84" t="s">
        <v>243</v>
      </c>
    </row>
    <row r="114" spans="1:5" x14ac:dyDescent="0.3">
      <c r="A114" s="80">
        <v>113</v>
      </c>
      <c r="B114" s="80" t="s">
        <v>149</v>
      </c>
      <c r="C114" s="81">
        <v>0.95799999999999996</v>
      </c>
      <c r="D114" s="80" t="s">
        <v>25</v>
      </c>
      <c r="E114" s="84" t="s">
        <v>243</v>
      </c>
    </row>
    <row r="115" spans="1:5" x14ac:dyDescent="0.3">
      <c r="A115" s="80">
        <v>114</v>
      </c>
      <c r="B115" s="80" t="s">
        <v>150</v>
      </c>
      <c r="C115" s="81">
        <v>0.72899999999999998</v>
      </c>
      <c r="D115" s="80" t="s">
        <v>25</v>
      </c>
      <c r="E115" s="83" t="s">
        <v>242</v>
      </c>
    </row>
    <row r="116" spans="1:5" x14ac:dyDescent="0.3">
      <c r="A116" s="80">
        <v>115</v>
      </c>
      <c r="B116" s="80" t="s">
        <v>151</v>
      </c>
      <c r="C116" s="81">
        <v>0.95799999999999996</v>
      </c>
      <c r="D116" s="80" t="s">
        <v>27</v>
      </c>
      <c r="E116" s="84" t="s">
        <v>243</v>
      </c>
    </row>
    <row r="117" spans="1:5" x14ac:dyDescent="0.3">
      <c r="A117" s="80">
        <v>116</v>
      </c>
      <c r="B117" s="80" t="s">
        <v>152</v>
      </c>
      <c r="C117" s="81">
        <v>0.81200000000000006</v>
      </c>
      <c r="D117" s="80" t="s">
        <v>27</v>
      </c>
      <c r="E117" s="83" t="s">
        <v>242</v>
      </c>
    </row>
    <row r="118" spans="1:5" x14ac:dyDescent="0.3">
      <c r="A118" s="80">
        <v>117</v>
      </c>
      <c r="B118" s="80" t="s">
        <v>153</v>
      </c>
      <c r="C118" s="81">
        <v>0.97899999999999998</v>
      </c>
      <c r="D118" s="80" t="s">
        <v>27</v>
      </c>
      <c r="E118" s="84" t="s">
        <v>243</v>
      </c>
    </row>
    <row r="119" spans="1:5" x14ac:dyDescent="0.3">
      <c r="A119" s="80">
        <v>118</v>
      </c>
      <c r="B119" s="80" t="s">
        <v>154</v>
      </c>
      <c r="C119" s="81">
        <v>1</v>
      </c>
      <c r="D119" s="80" t="s">
        <v>27</v>
      </c>
      <c r="E119" s="84" t="s">
        <v>243</v>
      </c>
    </row>
    <row r="120" spans="1:5" x14ac:dyDescent="0.3">
      <c r="A120" s="80">
        <v>119</v>
      </c>
      <c r="B120" s="80" t="s">
        <v>155</v>
      </c>
      <c r="C120" s="81">
        <v>0.97899999999999998</v>
      </c>
      <c r="D120" s="80" t="s">
        <v>27</v>
      </c>
      <c r="E120" s="84" t="s">
        <v>243</v>
      </c>
    </row>
    <row r="121" spans="1:5" x14ac:dyDescent="0.3">
      <c r="A121" s="80">
        <v>120</v>
      </c>
      <c r="B121" s="80" t="s">
        <v>156</v>
      </c>
      <c r="C121" s="81">
        <v>0.79200000000000004</v>
      </c>
      <c r="D121" s="80" t="s">
        <v>27</v>
      </c>
      <c r="E121" s="83" t="s">
        <v>242</v>
      </c>
    </row>
    <row r="122" spans="1:5" x14ac:dyDescent="0.3">
      <c r="A122" s="80">
        <v>121</v>
      </c>
      <c r="B122" s="80" t="s">
        <v>157</v>
      </c>
      <c r="C122" s="81">
        <v>0.93799999999999994</v>
      </c>
      <c r="D122" s="80" t="s">
        <v>27</v>
      </c>
      <c r="E122" s="84" t="s">
        <v>243</v>
      </c>
    </row>
    <row r="123" spans="1:5" x14ac:dyDescent="0.3">
      <c r="A123" s="80">
        <v>122</v>
      </c>
      <c r="B123" s="80" t="s">
        <v>158</v>
      </c>
      <c r="C123" s="81">
        <v>0.72899999999999998</v>
      </c>
      <c r="D123" s="80" t="s">
        <v>27</v>
      </c>
      <c r="E123" s="83" t="s">
        <v>242</v>
      </c>
    </row>
    <row r="124" spans="1:5" x14ac:dyDescent="0.3">
      <c r="A124" s="80">
        <v>123</v>
      </c>
      <c r="B124" s="80" t="s">
        <v>159</v>
      </c>
      <c r="C124" s="81">
        <v>0.66700000000000004</v>
      </c>
      <c r="D124" s="80" t="s">
        <v>27</v>
      </c>
      <c r="E124" s="82" t="s">
        <v>238</v>
      </c>
    </row>
    <row r="125" spans="1:5" x14ac:dyDescent="0.3">
      <c r="A125" s="80">
        <v>124</v>
      </c>
      <c r="B125" s="80" t="s">
        <v>160</v>
      </c>
      <c r="C125" s="81">
        <v>0.72899999999999998</v>
      </c>
      <c r="D125" s="80" t="s">
        <v>27</v>
      </c>
      <c r="E125" s="83" t="s">
        <v>242</v>
      </c>
    </row>
    <row r="126" spans="1:5" x14ac:dyDescent="0.3">
      <c r="A126" s="80">
        <v>125</v>
      </c>
      <c r="B126" s="80" t="s">
        <v>161</v>
      </c>
      <c r="C126" s="81">
        <v>0.77100000000000002</v>
      </c>
      <c r="D126" s="80" t="s">
        <v>27</v>
      </c>
      <c r="E126" s="83" t="s">
        <v>242</v>
      </c>
    </row>
    <row r="127" spans="1:5" x14ac:dyDescent="0.3">
      <c r="A127" s="80">
        <v>126</v>
      </c>
      <c r="B127" s="80" t="s">
        <v>162</v>
      </c>
      <c r="C127" s="81">
        <v>0.95799999999999996</v>
      </c>
      <c r="D127" s="80" t="s">
        <v>27</v>
      </c>
      <c r="E127" s="84" t="s">
        <v>243</v>
      </c>
    </row>
    <row r="128" spans="1:5" x14ac:dyDescent="0.3">
      <c r="A128" s="80">
        <v>127</v>
      </c>
      <c r="B128" s="80" t="s">
        <v>163</v>
      </c>
      <c r="C128" s="81">
        <v>0.91700000000000004</v>
      </c>
      <c r="D128" s="80" t="s">
        <v>27</v>
      </c>
      <c r="E128" s="84" t="s">
        <v>243</v>
      </c>
    </row>
    <row r="129" spans="1:5" x14ac:dyDescent="0.3">
      <c r="A129" s="80">
        <v>128</v>
      </c>
      <c r="B129" s="80" t="s">
        <v>164</v>
      </c>
      <c r="C129" s="81">
        <v>0.93799999999999994</v>
      </c>
      <c r="D129" s="80" t="s">
        <v>27</v>
      </c>
      <c r="E129" s="84" t="s">
        <v>243</v>
      </c>
    </row>
    <row r="130" spans="1:5" x14ac:dyDescent="0.3">
      <c r="A130" s="80">
        <v>129</v>
      </c>
      <c r="B130" s="80" t="s">
        <v>165</v>
      </c>
      <c r="C130" s="81">
        <v>0.72899999999999998</v>
      </c>
      <c r="D130" s="80" t="s">
        <v>27</v>
      </c>
      <c r="E130" s="83" t="s">
        <v>242</v>
      </c>
    </row>
    <row r="131" spans="1:5" x14ac:dyDescent="0.3">
      <c r="A131" s="80">
        <v>130</v>
      </c>
      <c r="B131" s="80" t="s">
        <v>166</v>
      </c>
      <c r="C131" s="81">
        <v>0.95799999999999996</v>
      </c>
      <c r="D131" s="80" t="s">
        <v>27</v>
      </c>
      <c r="E131" s="84" t="s">
        <v>243</v>
      </c>
    </row>
    <row r="132" spans="1:5" x14ac:dyDescent="0.3">
      <c r="A132" s="80">
        <v>131</v>
      </c>
      <c r="B132" s="80" t="s">
        <v>167</v>
      </c>
      <c r="C132" s="81">
        <v>0.91700000000000004</v>
      </c>
      <c r="D132" s="80" t="s">
        <v>27</v>
      </c>
      <c r="E132" s="84" t="s">
        <v>243</v>
      </c>
    </row>
    <row r="133" spans="1:5" x14ac:dyDescent="0.3">
      <c r="A133" s="80">
        <v>132</v>
      </c>
      <c r="B133" s="80" t="s">
        <v>168</v>
      </c>
      <c r="C133" s="81">
        <v>0.77100000000000002</v>
      </c>
      <c r="D133" s="80" t="s">
        <v>27</v>
      </c>
      <c r="E133" s="83" t="s">
        <v>242</v>
      </c>
    </row>
    <row r="134" spans="1:5" x14ac:dyDescent="0.3">
      <c r="A134" s="80">
        <v>133</v>
      </c>
      <c r="B134" s="80" t="s">
        <v>169</v>
      </c>
      <c r="C134" s="81">
        <v>0.85399999999999998</v>
      </c>
      <c r="D134" s="80" t="s">
        <v>27</v>
      </c>
      <c r="E134" s="83" t="s">
        <v>242</v>
      </c>
    </row>
    <row r="135" spans="1:5" x14ac:dyDescent="0.3">
      <c r="A135" s="80">
        <v>134</v>
      </c>
      <c r="B135" s="80" t="s">
        <v>170</v>
      </c>
      <c r="C135" s="81">
        <v>0.875</v>
      </c>
      <c r="D135" s="80" t="s">
        <v>27</v>
      </c>
      <c r="E135" s="84" t="s">
        <v>243</v>
      </c>
    </row>
    <row r="136" spans="1:5" x14ac:dyDescent="0.3">
      <c r="A136" s="80">
        <v>135</v>
      </c>
      <c r="B136" s="80" t="s">
        <v>171</v>
      </c>
      <c r="C136" s="81">
        <v>0.66700000000000004</v>
      </c>
      <c r="D136" s="80" t="s">
        <v>27</v>
      </c>
      <c r="E136" s="82" t="s">
        <v>238</v>
      </c>
    </row>
    <row r="137" spans="1:5" x14ac:dyDescent="0.3">
      <c r="A137" s="80">
        <v>136</v>
      </c>
      <c r="B137" s="80" t="s">
        <v>172</v>
      </c>
      <c r="C137" s="81">
        <v>0.97899999999999998</v>
      </c>
      <c r="D137" s="80" t="s">
        <v>27</v>
      </c>
      <c r="E137" s="84" t="s">
        <v>243</v>
      </c>
    </row>
    <row r="138" spans="1:5" x14ac:dyDescent="0.3">
      <c r="A138" s="80">
        <v>137</v>
      </c>
      <c r="B138" s="80" t="s">
        <v>173</v>
      </c>
      <c r="C138" s="81">
        <v>0.77100000000000002</v>
      </c>
      <c r="D138" s="80" t="s">
        <v>27</v>
      </c>
      <c r="E138" s="83" t="s">
        <v>242</v>
      </c>
    </row>
    <row r="139" spans="1:5" x14ac:dyDescent="0.3">
      <c r="A139" s="80">
        <v>138</v>
      </c>
      <c r="B139" s="80" t="s">
        <v>174</v>
      </c>
      <c r="C139" s="81">
        <v>0.89600000000000002</v>
      </c>
      <c r="D139" s="80" t="s">
        <v>27</v>
      </c>
      <c r="E139" s="84" t="s">
        <v>243</v>
      </c>
    </row>
    <row r="140" spans="1:5" x14ac:dyDescent="0.3">
      <c r="A140" s="80">
        <v>139</v>
      </c>
      <c r="B140" s="80" t="s">
        <v>175</v>
      </c>
      <c r="C140" s="81">
        <v>0.70799999999999996</v>
      </c>
      <c r="D140" s="80" t="s">
        <v>27</v>
      </c>
      <c r="E140" s="82" t="s">
        <v>238</v>
      </c>
    </row>
    <row r="141" spans="1:5" x14ac:dyDescent="0.3">
      <c r="A141" s="80">
        <v>140</v>
      </c>
      <c r="B141" s="80" t="s">
        <v>176</v>
      </c>
      <c r="C141" s="81">
        <v>0.95799999999999996</v>
      </c>
      <c r="D141" s="80" t="s">
        <v>27</v>
      </c>
      <c r="E141" s="84" t="s">
        <v>243</v>
      </c>
    </row>
    <row r="142" spans="1:5" x14ac:dyDescent="0.3">
      <c r="A142" s="80">
        <v>141</v>
      </c>
      <c r="B142" s="80" t="s">
        <v>177</v>
      </c>
      <c r="C142" s="81">
        <v>0.77100000000000002</v>
      </c>
      <c r="D142" s="80" t="s">
        <v>27</v>
      </c>
      <c r="E142" s="83" t="s">
        <v>242</v>
      </c>
    </row>
    <row r="143" spans="1:5" x14ac:dyDescent="0.3">
      <c r="A143" s="80">
        <v>142</v>
      </c>
      <c r="B143" s="80" t="s">
        <v>178</v>
      </c>
      <c r="C143" s="81">
        <v>1</v>
      </c>
      <c r="D143" s="80" t="s">
        <v>27</v>
      </c>
      <c r="E143" s="84" t="s">
        <v>243</v>
      </c>
    </row>
    <row r="144" spans="1:5" x14ac:dyDescent="0.3">
      <c r="A144" s="80">
        <v>143</v>
      </c>
      <c r="B144" s="80" t="s">
        <v>179</v>
      </c>
      <c r="C144" s="81">
        <v>0.66700000000000004</v>
      </c>
      <c r="D144" s="80" t="s">
        <v>27</v>
      </c>
      <c r="E144" s="82" t="s">
        <v>238</v>
      </c>
    </row>
    <row r="145" spans="1:5" x14ac:dyDescent="0.3">
      <c r="A145" s="80">
        <v>144</v>
      </c>
      <c r="B145" s="80" t="s">
        <v>180</v>
      </c>
      <c r="C145" s="81">
        <v>0.85399999999999998</v>
      </c>
      <c r="D145" s="80" t="s">
        <v>27</v>
      </c>
      <c r="E145" s="83" t="s">
        <v>242</v>
      </c>
    </row>
    <row r="146" spans="1:5" x14ac:dyDescent="0.3">
      <c r="A146" s="80">
        <v>145</v>
      </c>
      <c r="B146" s="80" t="s">
        <v>181</v>
      </c>
      <c r="C146" s="81">
        <v>0.75</v>
      </c>
      <c r="D146" s="80" t="s">
        <v>27</v>
      </c>
      <c r="E146" s="83" t="s">
        <v>242</v>
      </c>
    </row>
    <row r="147" spans="1:5" x14ac:dyDescent="0.3">
      <c r="A147" s="80">
        <v>146</v>
      </c>
      <c r="B147" s="80" t="s">
        <v>182</v>
      </c>
      <c r="C147" s="81">
        <v>0.97899999999999998</v>
      </c>
      <c r="D147" s="80" t="s">
        <v>27</v>
      </c>
      <c r="E147" s="84" t="s">
        <v>243</v>
      </c>
    </row>
    <row r="148" spans="1:5" x14ac:dyDescent="0.3">
      <c r="A148" s="80">
        <v>147</v>
      </c>
      <c r="B148" s="80" t="s">
        <v>183</v>
      </c>
      <c r="C148" s="81">
        <v>0.95799999999999996</v>
      </c>
      <c r="D148" s="80" t="s">
        <v>27</v>
      </c>
      <c r="E148" s="84" t="s">
        <v>243</v>
      </c>
    </row>
    <row r="149" spans="1:5" x14ac:dyDescent="0.3">
      <c r="A149" s="80">
        <v>148</v>
      </c>
      <c r="B149" s="80" t="s">
        <v>184</v>
      </c>
      <c r="C149" s="81">
        <v>0.81200000000000006</v>
      </c>
      <c r="D149" s="80" t="s">
        <v>27</v>
      </c>
      <c r="E149" s="83" t="s">
        <v>242</v>
      </c>
    </row>
    <row r="150" spans="1:5" x14ac:dyDescent="0.3">
      <c r="A150" s="80">
        <v>149</v>
      </c>
      <c r="B150" s="80" t="s">
        <v>185</v>
      </c>
      <c r="C150" s="81">
        <v>0.93799999999999994</v>
      </c>
      <c r="D150" s="80" t="s">
        <v>27</v>
      </c>
      <c r="E150" s="84" t="s">
        <v>243</v>
      </c>
    </row>
    <row r="151" spans="1:5" x14ac:dyDescent="0.3">
      <c r="A151" s="80">
        <v>150</v>
      </c>
      <c r="B151" s="80" t="s">
        <v>186</v>
      </c>
      <c r="C151" s="81">
        <v>0.875</v>
      </c>
      <c r="D151" s="80" t="s">
        <v>27</v>
      </c>
      <c r="E151" s="84" t="s">
        <v>243</v>
      </c>
    </row>
    <row r="152" spans="1:5" x14ac:dyDescent="0.3">
      <c r="A152" s="80">
        <v>151</v>
      </c>
      <c r="B152" s="80" t="s">
        <v>187</v>
      </c>
      <c r="C152" s="81">
        <v>0.68799999999999994</v>
      </c>
      <c r="D152" s="80" t="s">
        <v>27</v>
      </c>
      <c r="E152" s="82" t="s">
        <v>238</v>
      </c>
    </row>
    <row r="153" spans="1:5" x14ac:dyDescent="0.3">
      <c r="A153" s="80">
        <v>152</v>
      </c>
      <c r="B153" s="80" t="s">
        <v>188</v>
      </c>
      <c r="C153" s="81">
        <v>0.97899999999999998</v>
      </c>
      <c r="D153" s="80" t="s">
        <v>27</v>
      </c>
      <c r="E153" s="84" t="s">
        <v>243</v>
      </c>
    </row>
    <row r="154" spans="1:5" x14ac:dyDescent="0.3">
      <c r="A154" s="80">
        <v>153</v>
      </c>
      <c r="B154" s="80" t="s">
        <v>189</v>
      </c>
      <c r="C154" s="81">
        <v>0.77100000000000002</v>
      </c>
      <c r="D154" s="80" t="s">
        <v>27</v>
      </c>
      <c r="E154" s="83" t="s">
        <v>242</v>
      </c>
    </row>
    <row r="155" spans="1:5" x14ac:dyDescent="0.3">
      <c r="A155" s="80">
        <v>154</v>
      </c>
      <c r="B155" s="80" t="s">
        <v>190</v>
      </c>
      <c r="C155" s="81">
        <v>0.79200000000000004</v>
      </c>
      <c r="D155" s="80" t="s">
        <v>27</v>
      </c>
      <c r="E155" s="83" t="s">
        <v>242</v>
      </c>
    </row>
    <row r="156" spans="1:5" x14ac:dyDescent="0.3">
      <c r="A156" s="80">
        <v>155</v>
      </c>
      <c r="B156" s="80" t="s">
        <v>191</v>
      </c>
      <c r="C156" s="81">
        <v>0.97899999999999998</v>
      </c>
      <c r="D156" s="80" t="s">
        <v>27</v>
      </c>
      <c r="E156" s="84" t="s">
        <v>243</v>
      </c>
    </row>
    <row r="157" spans="1:5" x14ac:dyDescent="0.3">
      <c r="A157" s="80">
        <v>156</v>
      </c>
      <c r="B157" s="80" t="s">
        <v>192</v>
      </c>
      <c r="C157" s="81">
        <v>0.72899999999999998</v>
      </c>
      <c r="D157" s="80" t="s">
        <v>27</v>
      </c>
      <c r="E157" s="83" t="s">
        <v>242</v>
      </c>
    </row>
    <row r="158" spans="1:5" x14ac:dyDescent="0.3">
      <c r="A158" s="80">
        <v>157</v>
      </c>
      <c r="B158" s="80" t="s">
        <v>193</v>
      </c>
      <c r="C158" s="81">
        <v>0.93799999999999994</v>
      </c>
      <c r="D158" s="80" t="s">
        <v>27</v>
      </c>
      <c r="E158" s="84" t="s">
        <v>243</v>
      </c>
    </row>
    <row r="159" spans="1:5" x14ac:dyDescent="0.3">
      <c r="A159" s="80">
        <v>158</v>
      </c>
      <c r="B159" s="80" t="s">
        <v>194</v>
      </c>
      <c r="C159" s="81">
        <v>0.93799999999999994</v>
      </c>
      <c r="D159" s="80" t="s">
        <v>27</v>
      </c>
      <c r="E159" s="84" t="s">
        <v>243</v>
      </c>
    </row>
    <row r="160" spans="1:5" x14ac:dyDescent="0.3">
      <c r="A160" s="80">
        <v>159</v>
      </c>
      <c r="B160" s="80" t="s">
        <v>195</v>
      </c>
      <c r="C160" s="81">
        <v>0.68799999999999994</v>
      </c>
      <c r="D160" s="80" t="s">
        <v>27</v>
      </c>
      <c r="E160" s="82" t="s">
        <v>238</v>
      </c>
    </row>
    <row r="161" spans="1:5" x14ac:dyDescent="0.3">
      <c r="A161" s="80">
        <v>160</v>
      </c>
      <c r="B161" s="80" t="s">
        <v>196</v>
      </c>
      <c r="C161" s="81">
        <v>0.72899999999999998</v>
      </c>
      <c r="D161" s="80" t="s">
        <v>27</v>
      </c>
      <c r="E161" s="83" t="s">
        <v>242</v>
      </c>
    </row>
    <row r="162" spans="1:5" x14ac:dyDescent="0.3">
      <c r="A162" s="80">
        <v>161</v>
      </c>
      <c r="B162" s="80" t="s">
        <v>197</v>
      </c>
      <c r="C162" s="81">
        <v>0.75</v>
      </c>
      <c r="D162" s="80" t="s">
        <v>27</v>
      </c>
      <c r="E162" s="83" t="s">
        <v>242</v>
      </c>
    </row>
    <row r="163" spans="1:5" x14ac:dyDescent="0.3">
      <c r="A163" s="80">
        <v>162</v>
      </c>
      <c r="B163" s="80" t="s">
        <v>198</v>
      </c>
      <c r="C163" s="81">
        <v>0.79200000000000004</v>
      </c>
      <c r="D163" s="80" t="s">
        <v>27</v>
      </c>
      <c r="E163" s="83" t="s">
        <v>242</v>
      </c>
    </row>
    <row r="164" spans="1:5" x14ac:dyDescent="0.3">
      <c r="A164" s="80">
        <v>163</v>
      </c>
      <c r="B164" s="80" t="s">
        <v>199</v>
      </c>
      <c r="C164" s="81">
        <v>0.66700000000000004</v>
      </c>
      <c r="D164" s="80" t="s">
        <v>27</v>
      </c>
      <c r="E164" s="82" t="s">
        <v>238</v>
      </c>
    </row>
    <row r="165" spans="1:5" x14ac:dyDescent="0.3">
      <c r="A165" s="80">
        <v>164</v>
      </c>
      <c r="B165" s="80" t="s">
        <v>200</v>
      </c>
      <c r="C165" s="81">
        <v>0.75</v>
      </c>
      <c r="D165" s="80" t="s">
        <v>27</v>
      </c>
      <c r="E165" s="83" t="s">
        <v>242</v>
      </c>
    </row>
    <row r="166" spans="1:5" x14ac:dyDescent="0.3">
      <c r="A166" s="80">
        <v>165</v>
      </c>
      <c r="B166" s="80" t="s">
        <v>201</v>
      </c>
      <c r="C166" s="81">
        <v>0.93799999999999994</v>
      </c>
      <c r="D166" s="80" t="s">
        <v>27</v>
      </c>
      <c r="E166" s="84" t="s">
        <v>243</v>
      </c>
    </row>
    <row r="167" spans="1:5" x14ac:dyDescent="0.3">
      <c r="A167" s="80">
        <v>166</v>
      </c>
      <c r="B167" s="80" t="s">
        <v>202</v>
      </c>
      <c r="C167" s="81">
        <v>0.77100000000000002</v>
      </c>
      <c r="D167" s="80" t="s">
        <v>27</v>
      </c>
      <c r="E167" s="83" t="s">
        <v>242</v>
      </c>
    </row>
    <row r="168" spans="1:5" x14ac:dyDescent="0.3">
      <c r="A168" s="80">
        <v>167</v>
      </c>
      <c r="B168" s="80" t="s">
        <v>203</v>
      </c>
      <c r="C168" s="81">
        <v>0.93799999999999994</v>
      </c>
      <c r="D168" s="80" t="s">
        <v>27</v>
      </c>
      <c r="E168" s="84" t="s">
        <v>243</v>
      </c>
    </row>
    <row r="169" spans="1:5" x14ac:dyDescent="0.3">
      <c r="A169" s="80">
        <v>168</v>
      </c>
      <c r="B169" s="80" t="s">
        <v>204</v>
      </c>
      <c r="C169" s="81">
        <v>0.68799999999999994</v>
      </c>
      <c r="D169" s="80" t="s">
        <v>27</v>
      </c>
      <c r="E169" s="82" t="s">
        <v>238</v>
      </c>
    </row>
    <row r="170" spans="1:5" x14ac:dyDescent="0.3">
      <c r="A170" s="80">
        <v>169</v>
      </c>
      <c r="B170" s="80" t="s">
        <v>205</v>
      </c>
      <c r="C170" s="81">
        <v>1</v>
      </c>
      <c r="D170" s="80" t="s">
        <v>27</v>
      </c>
      <c r="E170" s="84" t="s">
        <v>243</v>
      </c>
    </row>
    <row r="171" spans="1:5" x14ac:dyDescent="0.3">
      <c r="A171" s="80">
        <v>170</v>
      </c>
      <c r="B171" s="80" t="s">
        <v>206</v>
      </c>
      <c r="C171" s="81">
        <v>0.75</v>
      </c>
      <c r="D171" s="80" t="s">
        <v>27</v>
      </c>
      <c r="E171" s="83" t="s">
        <v>242</v>
      </c>
    </row>
    <row r="172" spans="1:5" x14ac:dyDescent="0.3">
      <c r="A172" s="80">
        <v>171</v>
      </c>
      <c r="B172" s="80" t="s">
        <v>207</v>
      </c>
      <c r="C172" s="81">
        <v>0.97899999999999998</v>
      </c>
      <c r="D172" s="80" t="s">
        <v>27</v>
      </c>
      <c r="E172" s="84" t="s">
        <v>243</v>
      </c>
    </row>
    <row r="173" spans="1:5" x14ac:dyDescent="0.3">
      <c r="A173" s="80">
        <v>172</v>
      </c>
      <c r="B173" s="80" t="s">
        <v>208</v>
      </c>
      <c r="C173" s="81">
        <v>0.95799999999999996</v>
      </c>
      <c r="D173" s="80" t="s">
        <v>27</v>
      </c>
      <c r="E173" s="84" t="s">
        <v>243</v>
      </c>
    </row>
    <row r="174" spans="1:5" x14ac:dyDescent="0.3">
      <c r="A174" s="80">
        <v>173</v>
      </c>
      <c r="B174" s="80" t="s">
        <v>209</v>
      </c>
      <c r="C174" s="81">
        <v>0.89600000000000002</v>
      </c>
      <c r="D174" s="80" t="s">
        <v>27</v>
      </c>
      <c r="E174" s="84" t="s">
        <v>243</v>
      </c>
    </row>
    <row r="175" spans="1:5" x14ac:dyDescent="0.3">
      <c r="A175" s="80">
        <v>174</v>
      </c>
      <c r="B175" s="80" t="s">
        <v>210</v>
      </c>
      <c r="C175" s="81">
        <v>0.81200000000000006</v>
      </c>
      <c r="D175" s="80" t="s">
        <v>27</v>
      </c>
      <c r="E175" s="83" t="s">
        <v>242</v>
      </c>
    </row>
    <row r="176" spans="1:5" x14ac:dyDescent="0.3">
      <c r="A176" s="80">
        <v>175</v>
      </c>
      <c r="B176" s="80" t="s">
        <v>211</v>
      </c>
      <c r="C176" s="81">
        <v>0.58299999999999996</v>
      </c>
      <c r="D176" s="80" t="s">
        <v>27</v>
      </c>
      <c r="E176" s="82" t="s">
        <v>238</v>
      </c>
    </row>
    <row r="177" spans="1:5" x14ac:dyDescent="0.3">
      <c r="A177" s="80">
        <v>176</v>
      </c>
      <c r="B177" s="80" t="s">
        <v>212</v>
      </c>
      <c r="C177" s="81">
        <v>0.66700000000000004</v>
      </c>
      <c r="D177" s="80" t="s">
        <v>27</v>
      </c>
      <c r="E177" s="82" t="s">
        <v>238</v>
      </c>
    </row>
    <row r="178" spans="1:5" x14ac:dyDescent="0.3">
      <c r="A178" s="80">
        <v>177</v>
      </c>
      <c r="B178" s="80" t="s">
        <v>213</v>
      </c>
      <c r="C178" s="81">
        <v>0.75</v>
      </c>
      <c r="D178" s="80" t="s">
        <v>27</v>
      </c>
      <c r="E178" s="83" t="s">
        <v>242</v>
      </c>
    </row>
    <row r="179" spans="1:5" x14ac:dyDescent="0.3">
      <c r="A179" s="80">
        <v>178</v>
      </c>
      <c r="B179" s="80" t="s">
        <v>214</v>
      </c>
      <c r="C179" s="81">
        <v>0.91700000000000004</v>
      </c>
      <c r="D179" s="80" t="s">
        <v>27</v>
      </c>
      <c r="E179" s="84" t="s">
        <v>243</v>
      </c>
    </row>
    <row r="180" spans="1:5" x14ac:dyDescent="0.3">
      <c r="A180" s="80">
        <v>179</v>
      </c>
      <c r="B180" s="80" t="s">
        <v>215</v>
      </c>
      <c r="C180" s="81">
        <v>0.97899999999999998</v>
      </c>
      <c r="D180" s="80" t="s">
        <v>27</v>
      </c>
      <c r="E180" s="84" t="s">
        <v>243</v>
      </c>
    </row>
    <row r="181" spans="1:5" x14ac:dyDescent="0.3">
      <c r="A181" s="80">
        <v>180</v>
      </c>
      <c r="B181" s="80" t="s">
        <v>216</v>
      </c>
      <c r="C181" s="81">
        <v>0.70799999999999996</v>
      </c>
      <c r="D181" s="80" t="s">
        <v>27</v>
      </c>
      <c r="E181" s="82" t="s">
        <v>238</v>
      </c>
    </row>
    <row r="182" spans="1:5" x14ac:dyDescent="0.3">
      <c r="A182" s="80">
        <v>181</v>
      </c>
      <c r="B182" s="80" t="s">
        <v>217</v>
      </c>
      <c r="C182" s="81">
        <v>0.91700000000000004</v>
      </c>
      <c r="D182" s="80" t="s">
        <v>27</v>
      </c>
      <c r="E182" s="84" t="s">
        <v>243</v>
      </c>
    </row>
    <row r="183" spans="1:5" x14ac:dyDescent="0.3">
      <c r="A183" s="80">
        <v>182</v>
      </c>
      <c r="B183" s="80" t="s">
        <v>218</v>
      </c>
      <c r="C183" s="81">
        <v>0.75</v>
      </c>
      <c r="D183" s="80" t="s">
        <v>27</v>
      </c>
      <c r="E183" s="83" t="s">
        <v>242</v>
      </c>
    </row>
    <row r="184" spans="1:5" x14ac:dyDescent="0.3">
      <c r="A184" s="80">
        <v>183</v>
      </c>
      <c r="B184" s="80" t="s">
        <v>219</v>
      </c>
      <c r="C184" s="81">
        <v>0.93799999999999994</v>
      </c>
      <c r="D184" s="80" t="s">
        <v>27</v>
      </c>
      <c r="E184" s="84" t="s">
        <v>243</v>
      </c>
    </row>
    <row r="185" spans="1:5" x14ac:dyDescent="0.3">
      <c r="A185" s="80">
        <v>184</v>
      </c>
      <c r="B185" s="80" t="s">
        <v>220</v>
      </c>
      <c r="C185" s="81">
        <v>0.81200000000000006</v>
      </c>
      <c r="D185" s="80" t="s">
        <v>27</v>
      </c>
      <c r="E185" s="83" t="s">
        <v>242</v>
      </c>
    </row>
    <row r="186" spans="1:5" x14ac:dyDescent="0.3">
      <c r="A186" s="80">
        <v>185</v>
      </c>
      <c r="B186" s="80" t="s">
        <v>221</v>
      </c>
      <c r="C186" s="81">
        <v>0.93799999999999994</v>
      </c>
      <c r="D186" s="80" t="s">
        <v>27</v>
      </c>
      <c r="E186" s="84" t="s">
        <v>243</v>
      </c>
    </row>
    <row r="187" spans="1:5" x14ac:dyDescent="0.3">
      <c r="A187" s="80">
        <v>186</v>
      </c>
      <c r="B187" s="80" t="s">
        <v>222</v>
      </c>
      <c r="C187" s="81">
        <v>0.68799999999999994</v>
      </c>
      <c r="D187" s="80" t="s">
        <v>27</v>
      </c>
      <c r="E187" s="82" t="s">
        <v>238</v>
      </c>
    </row>
    <row r="188" spans="1:5" x14ac:dyDescent="0.3">
      <c r="A188" s="80">
        <v>187</v>
      </c>
      <c r="B188" s="80" t="s">
        <v>223</v>
      </c>
      <c r="C188" s="81">
        <v>0.75</v>
      </c>
      <c r="D188" s="80" t="s">
        <v>27</v>
      </c>
      <c r="E188" s="83" t="s">
        <v>242</v>
      </c>
    </row>
    <row r="189" spans="1:5" x14ac:dyDescent="0.3">
      <c r="A189" s="80">
        <v>188</v>
      </c>
      <c r="B189" s="80" t="s">
        <v>224</v>
      </c>
      <c r="C189" s="81">
        <v>0.93799999999999994</v>
      </c>
      <c r="D189" s="80" t="s">
        <v>27</v>
      </c>
      <c r="E189" s="84" t="s">
        <v>243</v>
      </c>
    </row>
    <row r="190" spans="1:5" x14ac:dyDescent="0.3">
      <c r="A190" s="80">
        <v>189</v>
      </c>
      <c r="B190" s="80" t="s">
        <v>225</v>
      </c>
      <c r="C190" s="81">
        <v>0.79200000000000004</v>
      </c>
      <c r="D190" s="80" t="s">
        <v>27</v>
      </c>
      <c r="E190" s="83" t="s">
        <v>242</v>
      </c>
    </row>
    <row r="191" spans="1:5" x14ac:dyDescent="0.3">
      <c r="A191" s="80">
        <v>190</v>
      </c>
      <c r="B191" s="80" t="s">
        <v>226</v>
      </c>
      <c r="C191" s="81">
        <v>0.95799999999999996</v>
      </c>
      <c r="D191" s="80" t="s">
        <v>27</v>
      </c>
      <c r="E191" s="84" t="s">
        <v>243</v>
      </c>
    </row>
    <row r="192" spans="1:5" x14ac:dyDescent="0.3">
      <c r="A192" s="80">
        <v>191</v>
      </c>
      <c r="B192" s="80" t="s">
        <v>227</v>
      </c>
      <c r="C192" s="81">
        <v>0.70799999999999996</v>
      </c>
      <c r="D192" s="80" t="s">
        <v>27</v>
      </c>
      <c r="E192" s="82" t="s">
        <v>238</v>
      </c>
    </row>
    <row r="193" spans="1:5" x14ac:dyDescent="0.3">
      <c r="A193" s="80">
        <v>192</v>
      </c>
      <c r="B193" s="80" t="s">
        <v>228</v>
      </c>
      <c r="C193" s="81">
        <v>0.77100000000000002</v>
      </c>
      <c r="D193" s="80" t="s">
        <v>27</v>
      </c>
      <c r="E193" s="83" t="s">
        <v>242</v>
      </c>
    </row>
    <row r="194" spans="1:5" x14ac:dyDescent="0.3">
      <c r="A194" s="80">
        <v>193</v>
      </c>
      <c r="B194" s="80" t="s">
        <v>229</v>
      </c>
      <c r="C194" s="81">
        <v>0.104</v>
      </c>
      <c r="D194" s="80" t="s">
        <v>29</v>
      </c>
      <c r="E194" s="82" t="s">
        <v>238</v>
      </c>
    </row>
    <row r="195" spans="1:5" x14ac:dyDescent="0.3">
      <c r="A195" s="80">
        <v>194</v>
      </c>
      <c r="B195" s="80" t="s">
        <v>230</v>
      </c>
      <c r="C195" s="81">
        <v>0.41699999999999998</v>
      </c>
      <c r="D195" s="80" t="s">
        <v>29</v>
      </c>
      <c r="E195" s="84" t="s">
        <v>243</v>
      </c>
    </row>
    <row r="196" spans="1:5" x14ac:dyDescent="0.3">
      <c r="A196" s="80">
        <v>195</v>
      </c>
      <c r="B196" s="80" t="s">
        <v>231</v>
      </c>
      <c r="C196" s="81">
        <v>0.14599999999999999</v>
      </c>
      <c r="D196" s="80" t="s">
        <v>29</v>
      </c>
      <c r="E196" s="83" t="s">
        <v>242</v>
      </c>
    </row>
    <row r="197" spans="1:5" x14ac:dyDescent="0.3">
      <c r="A197" s="80">
        <v>196</v>
      </c>
      <c r="B197" s="80" t="s">
        <v>232</v>
      </c>
      <c r="C197" s="81">
        <v>0.35399999999999998</v>
      </c>
      <c r="D197" s="80" t="s">
        <v>29</v>
      </c>
      <c r="E197" s="84" t="s">
        <v>243</v>
      </c>
    </row>
    <row r="198" spans="1:5" x14ac:dyDescent="0.3">
      <c r="A198" s="80">
        <v>197</v>
      </c>
      <c r="B198" s="80" t="s">
        <v>233</v>
      </c>
      <c r="C198" s="81">
        <v>0.16700000000000001</v>
      </c>
      <c r="D198" s="80" t="s">
        <v>29</v>
      </c>
      <c r="E198" s="83" t="s">
        <v>242</v>
      </c>
    </row>
    <row r="199" spans="1:5" x14ac:dyDescent="0.3">
      <c r="A199" s="80">
        <v>198</v>
      </c>
      <c r="B199" s="80" t="s">
        <v>234</v>
      </c>
      <c r="C199" s="81">
        <v>0</v>
      </c>
      <c r="D199" s="80" t="s">
        <v>29</v>
      </c>
      <c r="E199" s="82" t="s">
        <v>238</v>
      </c>
    </row>
    <row r="200" spans="1:5" x14ac:dyDescent="0.3">
      <c r="A200" s="80">
        <v>199</v>
      </c>
      <c r="B200" s="80" t="s">
        <v>235</v>
      </c>
      <c r="C200" s="81">
        <v>0.438</v>
      </c>
      <c r="D200" s="80" t="s">
        <v>29</v>
      </c>
      <c r="E200" s="84" t="s">
        <v>243</v>
      </c>
    </row>
    <row r="201" spans="1:5" x14ac:dyDescent="0.3">
      <c r="A201" s="80">
        <v>200</v>
      </c>
      <c r="B201" s="80" t="s">
        <v>236</v>
      </c>
      <c r="C201" s="81">
        <v>0</v>
      </c>
      <c r="D201" s="80" t="s">
        <v>29</v>
      </c>
      <c r="E201" s="82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4A32-03CE-49F0-A80F-82878FE02243}">
  <dimension ref="A1:M45"/>
  <sheetViews>
    <sheetView workbookViewId="0">
      <selection activeCell="C21" sqref="C21"/>
    </sheetView>
  </sheetViews>
  <sheetFormatPr defaultRowHeight="14.4" x14ac:dyDescent="0.3"/>
  <cols>
    <col min="2" max="2" width="21.6640625" customWidth="1"/>
    <col min="7" max="7" width="16.44140625" customWidth="1"/>
    <col min="8" max="8" width="17.109375" customWidth="1"/>
    <col min="9" max="9" width="19.6640625" customWidth="1"/>
    <col min="10" max="10" width="14.33203125" customWidth="1"/>
    <col min="11" max="11" width="18" customWidth="1"/>
    <col min="12" max="12" width="19.109375" customWidth="1"/>
    <col min="13" max="13" width="16.88671875" customWidth="1"/>
  </cols>
  <sheetData>
    <row r="1" spans="1:13" ht="39.6" x14ac:dyDescent="0.3">
      <c r="A1" s="1" t="s">
        <v>0</v>
      </c>
      <c r="B1" s="1" t="s">
        <v>1</v>
      </c>
      <c r="C1" s="1" t="s">
        <v>5</v>
      </c>
      <c r="D1" s="1" t="s">
        <v>2</v>
      </c>
      <c r="E1" s="3" t="s">
        <v>237</v>
      </c>
      <c r="G1" s="22" t="s">
        <v>13</v>
      </c>
      <c r="H1" s="23"/>
      <c r="I1" s="23"/>
      <c r="J1" s="23"/>
      <c r="K1" s="23"/>
      <c r="L1" s="23"/>
      <c r="M1" s="23"/>
    </row>
    <row r="2" spans="1:13" ht="21.6" customHeight="1" x14ac:dyDescent="0.3">
      <c r="A2" s="4">
        <v>1</v>
      </c>
      <c r="B2" s="4" t="s">
        <v>14</v>
      </c>
      <c r="C2" s="7">
        <v>0.41699999999999998</v>
      </c>
      <c r="D2" s="5" t="s">
        <v>15</v>
      </c>
      <c r="E2" s="26" t="s">
        <v>238</v>
      </c>
      <c r="G2" s="1" t="s">
        <v>17</v>
      </c>
      <c r="H2" s="1" t="s">
        <v>239</v>
      </c>
      <c r="I2" s="1" t="s">
        <v>240</v>
      </c>
      <c r="J2" s="1" t="s">
        <v>241</v>
      </c>
      <c r="K2" s="1" t="s">
        <v>20</v>
      </c>
      <c r="L2" s="1" t="s">
        <v>21</v>
      </c>
      <c r="M2" s="1" t="s">
        <v>22</v>
      </c>
    </row>
    <row r="3" spans="1:13" x14ac:dyDescent="0.3">
      <c r="A3" s="11">
        <v>2</v>
      </c>
      <c r="B3" s="11" t="s">
        <v>23</v>
      </c>
      <c r="C3" s="7">
        <v>0.52100000000000002</v>
      </c>
      <c r="D3" s="12" t="s">
        <v>15</v>
      </c>
      <c r="E3" s="26" t="s">
        <v>238</v>
      </c>
      <c r="G3" s="5" t="s">
        <v>15</v>
      </c>
      <c r="H3" s="4">
        <f>SUMPRODUCT(($D$2:$D$45=G3)*($C$2:$C$45&gt;=0.55))</f>
        <v>2</v>
      </c>
      <c r="I3" s="4">
        <f>SUMPRODUCT(($D$2:$D$45=G3)*($C$2:$C$45&gt;=0.4)*($C$2:$C$45&lt;0.55))</f>
        <v>32</v>
      </c>
      <c r="J3" s="4">
        <f>SUMPRODUCT(($D$2:$D$45=G3)*($C$2:$C$45&lt;0.4))</f>
        <v>10</v>
      </c>
      <c r="K3" s="5">
        <f>SUM(H3:J3)</f>
        <v>44</v>
      </c>
      <c r="L3" s="5" t="str">
        <f>IF(MAX(H3:J3)=H3, "Patuh", IF(MAX(H3:J3)=I3, "Kurang Patuh", "Tidak Patuh"))</f>
        <v>Kurang Patuh</v>
      </c>
      <c r="M3" s="15">
        <f>MAX(H3:J3)</f>
        <v>32</v>
      </c>
    </row>
    <row r="4" spans="1:13" x14ac:dyDescent="0.3">
      <c r="A4" s="4">
        <v>3</v>
      </c>
      <c r="B4" s="4" t="s">
        <v>24</v>
      </c>
      <c r="C4" s="7">
        <v>0.54200000000000004</v>
      </c>
      <c r="D4" s="5" t="s">
        <v>15</v>
      </c>
      <c r="E4" s="26" t="s">
        <v>238</v>
      </c>
      <c r="G4" s="17" t="s">
        <v>20</v>
      </c>
      <c r="H4" s="17">
        <f>SUM(H3:H3)</f>
        <v>2</v>
      </c>
      <c r="I4" s="17">
        <f>SUM(I3:I3)</f>
        <v>32</v>
      </c>
      <c r="J4" s="17">
        <f>SUM(J3:J3)</f>
        <v>10</v>
      </c>
      <c r="K4" s="17">
        <f>SUM(K3:K3)</f>
        <v>44</v>
      </c>
      <c r="L4" s="5" t="s">
        <v>31</v>
      </c>
      <c r="M4" s="17">
        <f>SUM(M3:M3)</f>
        <v>32</v>
      </c>
    </row>
    <row r="5" spans="1:13" x14ac:dyDescent="0.3">
      <c r="A5" s="11">
        <v>4</v>
      </c>
      <c r="B5" s="11" t="s">
        <v>26</v>
      </c>
      <c r="C5" s="7">
        <v>0.375</v>
      </c>
      <c r="D5" s="12" t="s">
        <v>15</v>
      </c>
      <c r="E5" s="27" t="s">
        <v>242</v>
      </c>
    </row>
    <row r="6" spans="1:13" x14ac:dyDescent="0.3">
      <c r="A6" s="4">
        <v>5</v>
      </c>
      <c r="B6" s="4" t="s">
        <v>28</v>
      </c>
      <c r="C6" s="7">
        <v>0.54200000000000004</v>
      </c>
      <c r="D6" s="5" t="s">
        <v>15</v>
      </c>
      <c r="E6" s="26" t="s">
        <v>238</v>
      </c>
      <c r="G6" s="25" t="s">
        <v>34</v>
      </c>
      <c r="H6" s="23"/>
      <c r="I6" s="23"/>
      <c r="J6" s="23"/>
      <c r="K6" s="23"/>
      <c r="L6" s="23"/>
    </row>
    <row r="7" spans="1:13" x14ac:dyDescent="0.3">
      <c r="A7" s="11">
        <v>6</v>
      </c>
      <c r="B7" s="11" t="s">
        <v>30</v>
      </c>
      <c r="C7" s="7">
        <v>0.43799999999999989</v>
      </c>
      <c r="D7" s="12" t="s">
        <v>15</v>
      </c>
      <c r="E7" s="26" t="s">
        <v>238</v>
      </c>
      <c r="G7" s="4" t="s">
        <v>36</v>
      </c>
      <c r="L7" s="5">
        <f>M4</f>
        <v>32</v>
      </c>
    </row>
    <row r="8" spans="1:13" x14ac:dyDescent="0.3">
      <c r="A8" s="4">
        <v>7</v>
      </c>
      <c r="B8" s="4" t="s">
        <v>32</v>
      </c>
      <c r="C8" s="7">
        <v>0.29199999999999998</v>
      </c>
      <c r="D8" s="5" t="s">
        <v>15</v>
      </c>
      <c r="E8" s="27" t="s">
        <v>242</v>
      </c>
      <c r="G8" s="4" t="s">
        <v>38</v>
      </c>
      <c r="L8" s="5">
        <f>K4</f>
        <v>44</v>
      </c>
    </row>
    <row r="9" spans="1:13" x14ac:dyDescent="0.3">
      <c r="A9" s="11">
        <v>8</v>
      </c>
      <c r="B9" s="11" t="s">
        <v>33</v>
      </c>
      <c r="C9" s="7">
        <v>0.64599999999999991</v>
      </c>
      <c r="D9" s="12" t="s">
        <v>15</v>
      </c>
      <c r="E9" s="28" t="s">
        <v>243</v>
      </c>
      <c r="G9" s="4" t="s">
        <v>40</v>
      </c>
      <c r="L9" s="18">
        <f>L7/L8</f>
        <v>0.72727272727272729</v>
      </c>
    </row>
    <row r="10" spans="1:13" x14ac:dyDescent="0.3">
      <c r="A10" s="4">
        <v>9</v>
      </c>
      <c r="B10" s="4" t="s">
        <v>35</v>
      </c>
      <c r="C10" s="7">
        <v>0.60399999999999998</v>
      </c>
      <c r="D10" s="5" t="s">
        <v>15</v>
      </c>
      <c r="E10" s="28" t="s">
        <v>243</v>
      </c>
      <c r="G10" s="4" t="s">
        <v>42</v>
      </c>
      <c r="L10" s="19">
        <f>L9</f>
        <v>0.72727272727272729</v>
      </c>
    </row>
    <row r="11" spans="1:13" x14ac:dyDescent="0.3">
      <c r="A11" s="11">
        <v>10</v>
      </c>
      <c r="B11" s="11" t="s">
        <v>37</v>
      </c>
      <c r="C11" s="7">
        <v>0.43799999999999989</v>
      </c>
      <c r="D11" s="12" t="s">
        <v>15</v>
      </c>
      <c r="E11" s="26" t="s">
        <v>238</v>
      </c>
    </row>
    <row r="12" spans="1:13" x14ac:dyDescent="0.3">
      <c r="A12" s="4">
        <v>11</v>
      </c>
      <c r="B12" s="4" t="s">
        <v>39</v>
      </c>
      <c r="C12" s="7">
        <v>0.41699999999999998</v>
      </c>
      <c r="D12" s="5" t="s">
        <v>15</v>
      </c>
      <c r="E12" s="26" t="s">
        <v>238</v>
      </c>
    </row>
    <row r="13" spans="1:13" x14ac:dyDescent="0.3">
      <c r="A13" s="11">
        <v>12</v>
      </c>
      <c r="B13" s="11" t="s">
        <v>41</v>
      </c>
      <c r="C13" s="7">
        <v>0.47899999999999998</v>
      </c>
      <c r="D13" s="12" t="s">
        <v>15</v>
      </c>
      <c r="E13" s="26" t="s">
        <v>238</v>
      </c>
    </row>
    <row r="14" spans="1:13" x14ac:dyDescent="0.3">
      <c r="A14" s="4">
        <v>13</v>
      </c>
      <c r="B14" s="4" t="s">
        <v>43</v>
      </c>
      <c r="C14" s="7">
        <v>0.41699999999999998</v>
      </c>
      <c r="D14" s="5" t="s">
        <v>15</v>
      </c>
      <c r="E14" s="26" t="s">
        <v>238</v>
      </c>
      <c r="G14" s="29" t="s">
        <v>244</v>
      </c>
      <c r="H14" s="23"/>
    </row>
    <row r="15" spans="1:13" ht="15.6" customHeight="1" x14ac:dyDescent="0.3">
      <c r="A15" s="11">
        <v>14</v>
      </c>
      <c r="B15" s="11" t="s">
        <v>44</v>
      </c>
      <c r="C15" s="7">
        <v>0.33300000000000002</v>
      </c>
      <c r="D15" s="12" t="s">
        <v>15</v>
      </c>
      <c r="E15" s="27" t="s">
        <v>242</v>
      </c>
      <c r="G15" s="30" t="s">
        <v>243</v>
      </c>
      <c r="H15" s="31" t="s">
        <v>245</v>
      </c>
    </row>
    <row r="16" spans="1:13" ht="15" customHeight="1" x14ac:dyDescent="0.3">
      <c r="A16" s="4">
        <v>15</v>
      </c>
      <c r="B16" s="4" t="s">
        <v>46</v>
      </c>
      <c r="C16" s="7">
        <v>0.5</v>
      </c>
      <c r="D16" s="5" t="s">
        <v>15</v>
      </c>
      <c r="E16" s="26" t="s">
        <v>238</v>
      </c>
      <c r="G16" s="32" t="s">
        <v>238</v>
      </c>
      <c r="H16" s="31" t="s">
        <v>246</v>
      </c>
    </row>
    <row r="17" spans="1:8" ht="13.8" customHeight="1" x14ac:dyDescent="0.3">
      <c r="A17" s="11">
        <v>16</v>
      </c>
      <c r="B17" s="11" t="s">
        <v>52</v>
      </c>
      <c r="C17" s="7">
        <v>0.41699999999999998</v>
      </c>
      <c r="D17" s="12" t="s">
        <v>15</v>
      </c>
      <c r="E17" s="26" t="s">
        <v>238</v>
      </c>
      <c r="G17" s="33" t="s">
        <v>242</v>
      </c>
      <c r="H17" s="31" t="s">
        <v>247</v>
      </c>
    </row>
    <row r="18" spans="1:8" x14ac:dyDescent="0.3">
      <c r="A18" s="4">
        <v>17</v>
      </c>
      <c r="B18" s="4" t="s">
        <v>53</v>
      </c>
      <c r="C18" s="7">
        <v>0.5</v>
      </c>
      <c r="D18" s="5" t="s">
        <v>15</v>
      </c>
      <c r="E18" s="26" t="s">
        <v>238</v>
      </c>
    </row>
    <row r="19" spans="1:8" x14ac:dyDescent="0.3">
      <c r="A19" s="11">
        <v>18</v>
      </c>
      <c r="B19" s="11" t="s">
        <v>54</v>
      </c>
      <c r="C19" s="7">
        <v>0.47899999999999998</v>
      </c>
      <c r="D19" s="12" t="s">
        <v>15</v>
      </c>
      <c r="E19" s="26" t="s">
        <v>238</v>
      </c>
    </row>
    <row r="20" spans="1:8" x14ac:dyDescent="0.3">
      <c r="A20" s="4">
        <v>19</v>
      </c>
      <c r="B20" s="4" t="s">
        <v>55</v>
      </c>
      <c r="C20" s="7">
        <v>0.375</v>
      </c>
      <c r="D20" s="5" t="s">
        <v>15</v>
      </c>
      <c r="E20" s="27" t="s">
        <v>242</v>
      </c>
    </row>
    <row r="21" spans="1:8" x14ac:dyDescent="0.3">
      <c r="A21" s="11">
        <v>20</v>
      </c>
      <c r="B21" s="11" t="s">
        <v>56</v>
      </c>
      <c r="C21" s="7">
        <v>0.47899999999999998</v>
      </c>
      <c r="D21" s="12" t="s">
        <v>15</v>
      </c>
      <c r="E21" s="26" t="s">
        <v>238</v>
      </c>
    </row>
    <row r="22" spans="1:8" x14ac:dyDescent="0.3">
      <c r="A22" s="4">
        <v>21</v>
      </c>
      <c r="B22" s="4" t="s">
        <v>57</v>
      </c>
      <c r="C22" s="7">
        <v>0.54200000000000004</v>
      </c>
      <c r="D22" s="5" t="s">
        <v>15</v>
      </c>
      <c r="E22" s="26" t="s">
        <v>238</v>
      </c>
    </row>
    <row r="23" spans="1:8" x14ac:dyDescent="0.3">
      <c r="A23" s="11">
        <v>22</v>
      </c>
      <c r="B23" s="11" t="s">
        <v>58</v>
      </c>
      <c r="C23" s="7">
        <v>0.43799999999999989</v>
      </c>
      <c r="D23" s="12" t="s">
        <v>15</v>
      </c>
      <c r="E23" s="26" t="s">
        <v>238</v>
      </c>
    </row>
    <row r="24" spans="1:8" x14ac:dyDescent="0.3">
      <c r="A24" s="4">
        <v>23</v>
      </c>
      <c r="B24" s="4" t="s">
        <v>59</v>
      </c>
      <c r="C24" s="7">
        <v>0.43799999999999989</v>
      </c>
      <c r="D24" s="5" t="s">
        <v>15</v>
      </c>
      <c r="E24" s="26" t="s">
        <v>238</v>
      </c>
    </row>
    <row r="25" spans="1:8" x14ac:dyDescent="0.3">
      <c r="A25" s="11">
        <v>24</v>
      </c>
      <c r="B25" s="11" t="s">
        <v>60</v>
      </c>
      <c r="C25" s="7">
        <v>0.52100000000000002</v>
      </c>
      <c r="D25" s="12" t="s">
        <v>15</v>
      </c>
      <c r="E25" s="26" t="s">
        <v>238</v>
      </c>
    </row>
    <row r="26" spans="1:8" x14ac:dyDescent="0.3">
      <c r="A26" s="4">
        <v>25</v>
      </c>
      <c r="B26" s="4" t="s">
        <v>61</v>
      </c>
      <c r="C26" s="7">
        <v>0.39600000000000002</v>
      </c>
      <c r="D26" s="5" t="s">
        <v>15</v>
      </c>
      <c r="E26" s="27" t="s">
        <v>242</v>
      </c>
    </row>
    <row r="27" spans="1:8" x14ac:dyDescent="0.3">
      <c r="A27" s="11">
        <v>26</v>
      </c>
      <c r="B27" s="11" t="s">
        <v>62</v>
      </c>
      <c r="C27" s="7">
        <v>0.52100000000000002</v>
      </c>
      <c r="D27" s="12" t="s">
        <v>15</v>
      </c>
      <c r="E27" s="26" t="s">
        <v>238</v>
      </c>
    </row>
    <row r="28" spans="1:8" x14ac:dyDescent="0.3">
      <c r="A28" s="4">
        <v>27</v>
      </c>
      <c r="B28" s="4" t="s">
        <v>63</v>
      </c>
      <c r="C28" s="7">
        <v>0.5</v>
      </c>
      <c r="D28" s="5" t="s">
        <v>15</v>
      </c>
      <c r="E28" s="26" t="s">
        <v>238</v>
      </c>
    </row>
    <row r="29" spans="1:8" x14ac:dyDescent="0.3">
      <c r="A29" s="11">
        <v>28</v>
      </c>
      <c r="B29" s="11" t="s">
        <v>64</v>
      </c>
      <c r="C29" s="7">
        <v>0.45800000000000002</v>
      </c>
      <c r="D29" s="12" t="s">
        <v>15</v>
      </c>
      <c r="E29" s="26" t="s">
        <v>238</v>
      </c>
    </row>
    <row r="30" spans="1:8" x14ac:dyDescent="0.3">
      <c r="A30" s="4">
        <v>29</v>
      </c>
      <c r="B30" s="4" t="s">
        <v>65</v>
      </c>
      <c r="C30" s="7">
        <v>0.52100000000000002</v>
      </c>
      <c r="D30" s="5" t="s">
        <v>15</v>
      </c>
      <c r="E30" s="26" t="s">
        <v>238</v>
      </c>
    </row>
    <row r="31" spans="1:8" x14ac:dyDescent="0.3">
      <c r="A31" s="11">
        <v>30</v>
      </c>
      <c r="B31" s="11" t="s">
        <v>66</v>
      </c>
      <c r="C31" s="7">
        <v>0.5</v>
      </c>
      <c r="D31" s="12" t="s">
        <v>15</v>
      </c>
      <c r="E31" s="26" t="s">
        <v>238</v>
      </c>
    </row>
    <row r="32" spans="1:8" x14ac:dyDescent="0.3">
      <c r="A32" s="4">
        <v>31</v>
      </c>
      <c r="B32" s="4" t="s">
        <v>67</v>
      </c>
      <c r="C32" s="7">
        <v>0.54200000000000004</v>
      </c>
      <c r="D32" s="5" t="s">
        <v>15</v>
      </c>
      <c r="E32" s="26" t="s">
        <v>238</v>
      </c>
    </row>
    <row r="33" spans="1:5" x14ac:dyDescent="0.3">
      <c r="A33" s="11">
        <v>32</v>
      </c>
      <c r="B33" s="11" t="s">
        <v>68</v>
      </c>
      <c r="C33" s="7">
        <v>0.41699999999999998</v>
      </c>
      <c r="D33" s="12" t="s">
        <v>15</v>
      </c>
      <c r="E33" s="26" t="s">
        <v>238</v>
      </c>
    </row>
    <row r="34" spans="1:5" x14ac:dyDescent="0.3">
      <c r="A34" s="4">
        <v>33</v>
      </c>
      <c r="B34" s="4" t="s">
        <v>69</v>
      </c>
      <c r="C34" s="7">
        <v>0.47899999999999998</v>
      </c>
      <c r="D34" s="5" t="s">
        <v>15</v>
      </c>
      <c r="E34" s="26" t="s">
        <v>238</v>
      </c>
    </row>
    <row r="35" spans="1:5" x14ac:dyDescent="0.3">
      <c r="A35" s="11">
        <v>34</v>
      </c>
      <c r="B35" s="11" t="s">
        <v>70</v>
      </c>
      <c r="C35" s="7">
        <v>0.33300000000000002</v>
      </c>
      <c r="D35" s="12" t="s">
        <v>15</v>
      </c>
      <c r="E35" s="27" t="s">
        <v>242</v>
      </c>
    </row>
    <row r="36" spans="1:5" x14ac:dyDescent="0.3">
      <c r="A36" s="4">
        <v>35</v>
      </c>
      <c r="B36" s="4" t="s">
        <v>71</v>
      </c>
      <c r="C36" s="7">
        <v>0.47899999999999998</v>
      </c>
      <c r="D36" s="5" t="s">
        <v>15</v>
      </c>
      <c r="E36" s="26" t="s">
        <v>238</v>
      </c>
    </row>
    <row r="37" spans="1:5" x14ac:dyDescent="0.3">
      <c r="A37" s="11">
        <v>36</v>
      </c>
      <c r="B37" s="11" t="s">
        <v>72</v>
      </c>
      <c r="C37" s="7">
        <v>0.39600000000000002</v>
      </c>
      <c r="D37" s="12" t="s">
        <v>15</v>
      </c>
      <c r="E37" s="27" t="s">
        <v>242</v>
      </c>
    </row>
    <row r="38" spans="1:5" x14ac:dyDescent="0.3">
      <c r="A38" s="4">
        <v>37</v>
      </c>
      <c r="B38" s="4" t="s">
        <v>73</v>
      </c>
      <c r="C38" s="7">
        <v>0.39600000000000002</v>
      </c>
      <c r="D38" s="5" t="s">
        <v>15</v>
      </c>
      <c r="E38" s="27" t="s">
        <v>242</v>
      </c>
    </row>
    <row r="39" spans="1:5" x14ac:dyDescent="0.3">
      <c r="A39" s="11">
        <v>38</v>
      </c>
      <c r="B39" s="11" t="s">
        <v>74</v>
      </c>
      <c r="C39" s="7">
        <v>0.375</v>
      </c>
      <c r="D39" s="12" t="s">
        <v>15</v>
      </c>
      <c r="E39" s="27" t="s">
        <v>242</v>
      </c>
    </row>
    <row r="40" spans="1:5" x14ac:dyDescent="0.3">
      <c r="A40" s="4">
        <v>39</v>
      </c>
      <c r="B40" s="4" t="s">
        <v>75</v>
      </c>
      <c r="C40" s="7">
        <v>0.39600000000000002</v>
      </c>
      <c r="D40" s="5" t="s">
        <v>15</v>
      </c>
      <c r="E40" s="27" t="s">
        <v>242</v>
      </c>
    </row>
    <row r="41" spans="1:5" x14ac:dyDescent="0.3">
      <c r="A41" s="11">
        <v>40</v>
      </c>
      <c r="B41" s="11" t="s">
        <v>76</v>
      </c>
      <c r="C41" s="7">
        <v>0.5</v>
      </c>
      <c r="D41" s="12" t="s">
        <v>15</v>
      </c>
      <c r="E41" s="26" t="s">
        <v>238</v>
      </c>
    </row>
    <row r="42" spans="1:5" x14ac:dyDescent="0.3">
      <c r="A42" s="4">
        <v>41</v>
      </c>
      <c r="B42" s="4" t="s">
        <v>77</v>
      </c>
      <c r="C42" s="7">
        <v>0.41699999999999998</v>
      </c>
      <c r="D42" s="5" t="s">
        <v>15</v>
      </c>
      <c r="E42" s="26" t="s">
        <v>238</v>
      </c>
    </row>
    <row r="43" spans="1:5" x14ac:dyDescent="0.3">
      <c r="A43" s="11">
        <v>42</v>
      </c>
      <c r="B43" s="11" t="s">
        <v>78</v>
      </c>
      <c r="C43" s="7">
        <v>0.41699999999999998</v>
      </c>
      <c r="D43" s="12" t="s">
        <v>15</v>
      </c>
      <c r="E43" s="26" t="s">
        <v>238</v>
      </c>
    </row>
    <row r="44" spans="1:5" x14ac:dyDescent="0.3">
      <c r="A44" s="4">
        <v>43</v>
      </c>
      <c r="B44" s="4" t="s">
        <v>79</v>
      </c>
      <c r="C44" s="7">
        <v>0.41699999999999998</v>
      </c>
      <c r="D44" s="5" t="s">
        <v>15</v>
      </c>
      <c r="E44" s="26" t="s">
        <v>238</v>
      </c>
    </row>
    <row r="45" spans="1:5" x14ac:dyDescent="0.3">
      <c r="A45" s="11">
        <v>44</v>
      </c>
      <c r="B45" s="11" t="s">
        <v>80</v>
      </c>
      <c r="C45" s="7">
        <v>0.5</v>
      </c>
      <c r="D45" s="12" t="s">
        <v>15</v>
      </c>
      <c r="E45" s="26" t="s">
        <v>238</v>
      </c>
    </row>
  </sheetData>
  <mergeCells count="3">
    <mergeCell ref="G1:M1"/>
    <mergeCell ref="G6:L6"/>
    <mergeCell ref="G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Pemetaan Purity</vt:lpstr>
      <vt:lpstr>Sheet3</vt:lpstr>
      <vt:lpstr>Sheet4</vt:lpstr>
      <vt:lpstr>Sheet2</vt:lpstr>
      <vt:lpstr>Sheet5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Fajar Sidik</cp:lastModifiedBy>
  <dcterms:created xsi:type="dcterms:W3CDTF">2026-07-29T05:43:07Z</dcterms:created>
  <dcterms:modified xsi:type="dcterms:W3CDTF">2026-07-29T10:42:26Z</dcterms:modified>
</cp:coreProperties>
</file>